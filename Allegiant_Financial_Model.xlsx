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ackw\Documents\"/>
    </mc:Choice>
  </mc:AlternateContent>
  <xr:revisionPtr revIDLastSave="0" documentId="8_{78582F38-6997-4F46-A2DF-698E3D281BC7}" xr6:coauthVersionLast="47" xr6:coauthVersionMax="47" xr10:uidLastSave="{00000000-0000-0000-0000-000000000000}"/>
  <bookViews>
    <workbookView xWindow="-28910" yWindow="-90" windowWidth="29020" windowHeight="15700" activeTab="2" xr2:uid="{00000000-000D-0000-FFFF-FFFF00000000}"/>
  </bookViews>
  <sheets>
    <sheet name="Data" sheetId="1" r:id="rId1"/>
    <sheet name="Income Statement" sheetId="2" r:id="rId2"/>
    <sheet name="Sheet1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" i="2" l="1"/>
  <c r="E25" i="2"/>
  <c r="C25" i="2"/>
  <c r="L36" i="1" l="1"/>
  <c r="C19" i="1"/>
  <c r="F19" i="1" s="1"/>
  <c r="D19" i="1"/>
  <c r="E19" i="1"/>
  <c r="C20" i="1"/>
  <c r="D20" i="1"/>
  <c r="D15" i="2" s="1"/>
  <c r="E20" i="1"/>
  <c r="C21" i="1"/>
  <c r="D21" i="1"/>
  <c r="D16" i="2" s="1"/>
  <c r="E21" i="1"/>
  <c r="E16" i="2" s="1"/>
  <c r="C22" i="1"/>
  <c r="C17" i="2" s="1"/>
  <c r="D22" i="1"/>
  <c r="D17" i="2" s="1"/>
  <c r="E22" i="1"/>
  <c r="E17" i="2" s="1"/>
  <c r="C23" i="1"/>
  <c r="D23" i="1"/>
  <c r="E23" i="1"/>
  <c r="E18" i="2" s="1"/>
  <c r="C24" i="1"/>
  <c r="D24" i="1"/>
  <c r="D19" i="2" s="1"/>
  <c r="E24" i="1"/>
  <c r="E19" i="2" s="1"/>
  <c r="C25" i="1"/>
  <c r="C20" i="2" s="1"/>
  <c r="D25" i="1"/>
  <c r="D20" i="2" s="1"/>
  <c r="E25" i="1"/>
  <c r="C26" i="1"/>
  <c r="D26" i="1"/>
  <c r="H26" i="1" s="1"/>
  <c r="E26" i="1"/>
  <c r="E21" i="2" s="1"/>
  <c r="F21" i="2" s="1"/>
  <c r="C27" i="1"/>
  <c r="C22" i="2" s="1"/>
  <c r="D27" i="1"/>
  <c r="D22" i="2" s="1"/>
  <c r="E27" i="1"/>
  <c r="E22" i="2" s="1"/>
  <c r="B7" i="2" a="1"/>
  <c r="B8" i="2" s="1"/>
  <c r="F5" i="2"/>
  <c r="G5" i="2" s="1"/>
  <c r="H5" i="2" s="1"/>
  <c r="I5" i="2" s="1"/>
  <c r="J5" i="2" s="1"/>
  <c r="K5" i="2" s="1"/>
  <c r="E32" i="1"/>
  <c r="D32" i="1"/>
  <c r="C32" i="1"/>
  <c r="E29" i="1"/>
  <c r="D29" i="1"/>
  <c r="C29" i="1"/>
  <c r="E15" i="2"/>
  <c r="E14" i="2"/>
  <c r="C14" i="2"/>
  <c r="E15" i="1"/>
  <c r="D15" i="1"/>
  <c r="C15" i="1"/>
  <c r="E14" i="1"/>
  <c r="D14" i="1"/>
  <c r="C14" i="1"/>
  <c r="E13" i="1"/>
  <c r="D13" i="1"/>
  <c r="C13" i="1"/>
  <c r="E12" i="1"/>
  <c r="D12" i="1"/>
  <c r="C12" i="1"/>
  <c r="C5" i="1"/>
  <c r="C3" i="1"/>
  <c r="F20" i="1" l="1"/>
  <c r="F21" i="1"/>
  <c r="F22" i="1"/>
  <c r="F23" i="1"/>
  <c r="C18" i="2"/>
  <c r="F24" i="1"/>
  <c r="F25" i="1"/>
  <c r="F34" i="1" s="1"/>
  <c r="F26" i="1"/>
  <c r="F27" i="1"/>
  <c r="C21" i="2"/>
  <c r="F15" i="1"/>
  <c r="F13" i="1"/>
  <c r="C35" i="2" a="1"/>
  <c r="C35" i="2" s="1"/>
  <c r="H22" i="1"/>
  <c r="F17" i="2" s="1"/>
  <c r="G17" i="2" s="1"/>
  <c r="H17" i="2" s="1"/>
  <c r="I17" i="2" s="1"/>
  <c r="J17" i="2" s="1"/>
  <c r="K17" i="2" s="1"/>
  <c r="E34" i="1"/>
  <c r="D31" i="1"/>
  <c r="H23" i="1"/>
  <c r="F18" i="2" s="1"/>
  <c r="G18" i="2" s="1"/>
  <c r="H18" i="2" s="1"/>
  <c r="I18" i="2" s="1"/>
  <c r="J18" i="2" s="1"/>
  <c r="K18" i="2" s="1"/>
  <c r="F12" i="1"/>
  <c r="H29" i="1"/>
  <c r="E31" i="1"/>
  <c r="D30" i="1"/>
  <c r="C31" i="1"/>
  <c r="B9" i="2"/>
  <c r="E20" i="2"/>
  <c r="G20" i="2" s="1"/>
  <c r="E30" i="1"/>
  <c r="H19" i="1"/>
  <c r="F14" i="2" s="1"/>
  <c r="C33" i="1"/>
  <c r="G21" i="2"/>
  <c r="H21" i="2" s="1"/>
  <c r="I21" i="2" s="1"/>
  <c r="J21" i="2" s="1"/>
  <c r="K21" i="2" s="1"/>
  <c r="B10" i="2"/>
  <c r="H32" i="1"/>
  <c r="C15" i="2"/>
  <c r="J22" i="2"/>
  <c r="H14" i="1"/>
  <c r="K22" i="2"/>
  <c r="D33" i="1"/>
  <c r="D21" i="2"/>
  <c r="F14" i="1"/>
  <c r="E33" i="1"/>
  <c r="D14" i="2"/>
  <c r="D23" i="2" s="1"/>
  <c r="C7" i="2" a="1"/>
  <c r="H21" i="1"/>
  <c r="F16" i="2" s="1"/>
  <c r="G16" i="2" s="1"/>
  <c r="H16" i="2" s="1"/>
  <c r="I16" i="2" s="1"/>
  <c r="J16" i="2" s="1"/>
  <c r="K16" i="2" s="1"/>
  <c r="C30" i="1"/>
  <c r="B7" i="2"/>
  <c r="D18" i="2"/>
  <c r="C19" i="2"/>
  <c r="H22" i="2"/>
  <c r="C16" i="2"/>
  <c r="C34" i="1"/>
  <c r="F22" i="2"/>
  <c r="D34" i="1"/>
  <c r="G22" i="2"/>
  <c r="I22" i="2"/>
  <c r="D5" i="3" l="1"/>
  <c r="C5" i="3" s="1"/>
  <c r="D4" i="3"/>
  <c r="C4" i="3" s="1"/>
  <c r="F20" i="2"/>
  <c r="J20" i="2"/>
  <c r="I20" i="2"/>
  <c r="K20" i="2"/>
  <c r="H20" i="2"/>
  <c r="E23" i="2"/>
  <c r="D35" i="2"/>
  <c r="E35" i="2"/>
  <c r="F35" i="2" s="1"/>
  <c r="H30" i="1"/>
  <c r="C23" i="2"/>
  <c r="F33" i="1"/>
  <c r="D8" i="2"/>
  <c r="C10" i="2"/>
  <c r="E9" i="2"/>
  <c r="F9" i="2" s="1"/>
  <c r="G9" i="2" s="1"/>
  <c r="H9" i="2" s="1"/>
  <c r="I9" i="2" s="1"/>
  <c r="J9" i="2" s="1"/>
  <c r="K9" i="2" s="1"/>
  <c r="C7" i="2"/>
  <c r="E10" i="2"/>
  <c r="C8" i="2"/>
  <c r="D10" i="2"/>
  <c r="E7" i="2"/>
  <c r="D7" i="2"/>
  <c r="D9" i="2"/>
  <c r="C9" i="2"/>
  <c r="E8" i="2"/>
  <c r="G14" i="2"/>
  <c r="B36" i="2" a="1"/>
  <c r="G35" i="2" l="1"/>
  <c r="G7" i="2" s="1"/>
  <c r="F7" i="2"/>
  <c r="D11" i="2"/>
  <c r="C11" i="2"/>
  <c r="E11" i="2"/>
  <c r="B39" i="2"/>
  <c r="B37" i="2"/>
  <c r="D40" i="2"/>
  <c r="D38" i="2"/>
  <c r="D36" i="2"/>
  <c r="E37" i="2"/>
  <c r="F37" i="2" s="1"/>
  <c r="E38" i="2"/>
  <c r="F38" i="2" s="1"/>
  <c r="C40" i="2"/>
  <c r="C38" i="2"/>
  <c r="C36" i="2"/>
  <c r="E39" i="2"/>
  <c r="D39" i="2"/>
  <c r="C39" i="2"/>
  <c r="C37" i="2"/>
  <c r="E36" i="2"/>
  <c r="F36" i="2" s="1"/>
  <c r="B40" i="2"/>
  <c r="B38" i="2"/>
  <c r="B36" i="2"/>
  <c r="D37" i="2"/>
  <c r="E40" i="2"/>
  <c r="H14" i="2"/>
  <c r="H35" i="2" l="1"/>
  <c r="H7" i="2" s="1"/>
  <c r="G36" i="2"/>
  <c r="F8" i="2"/>
  <c r="G38" i="2"/>
  <c r="F15" i="2"/>
  <c r="I14" i="2"/>
  <c r="G37" i="2"/>
  <c r="F10" i="2"/>
  <c r="I35" i="2"/>
  <c r="J14" i="2" l="1"/>
  <c r="F11" i="2"/>
  <c r="F19" i="2" s="1"/>
  <c r="F23" i="2" s="1"/>
  <c r="F25" i="2" s="1"/>
  <c r="H37" i="2"/>
  <c r="G10" i="2"/>
  <c r="H38" i="2"/>
  <c r="G15" i="2"/>
  <c r="J35" i="2"/>
  <c r="I7" i="2"/>
  <c r="H36" i="2"/>
  <c r="G8" i="2"/>
  <c r="G11" i="2" l="1"/>
  <c r="G19" i="2" s="1"/>
  <c r="G23" i="2" s="1"/>
  <c r="G25" i="2" s="1"/>
  <c r="I36" i="2"/>
  <c r="H8" i="2"/>
  <c r="I37" i="2"/>
  <c r="H10" i="2"/>
  <c r="I38" i="2"/>
  <c r="H15" i="2"/>
  <c r="K35" i="2"/>
  <c r="J7" i="2"/>
  <c r="K14" i="2"/>
  <c r="K7" i="2" l="1"/>
  <c r="J37" i="2"/>
  <c r="I10" i="2"/>
  <c r="J38" i="2"/>
  <c r="I15" i="2"/>
  <c r="H11" i="2"/>
  <c r="H19" i="2" s="1"/>
  <c r="H23" i="2" s="1"/>
  <c r="H25" i="2" s="1"/>
  <c r="J36" i="2"/>
  <c r="I8" i="2"/>
  <c r="I11" i="2" l="1"/>
  <c r="I19" i="2" s="1"/>
  <c r="I23" i="2" s="1"/>
  <c r="I25" i="2" s="1"/>
  <c r="K37" i="2"/>
  <c r="K10" i="2" s="1"/>
  <c r="J10" i="2"/>
  <c r="K36" i="2"/>
  <c r="K8" i="2" s="1"/>
  <c r="J8" i="2"/>
  <c r="K38" i="2"/>
  <c r="K15" i="2" s="1"/>
  <c r="J15" i="2"/>
  <c r="J11" i="2" l="1"/>
  <c r="J19" i="2" s="1"/>
  <c r="J23" i="2" s="1"/>
  <c r="J25" i="2" s="1"/>
  <c r="K11" i="2"/>
  <c r="K19" i="2" s="1"/>
  <c r="K23" i="2" s="1"/>
  <c r="K25" i="2" s="1"/>
  <c r="D2" i="3" l="1"/>
  <c r="C2" i="3" s="1"/>
  <c r="D3" i="3"/>
  <c r="C3" i="3" s="1"/>
</calcChain>
</file>

<file path=xl/sharedStrings.xml><?xml version="1.0" encoding="utf-8"?>
<sst xmlns="http://schemas.openxmlformats.org/spreadsheetml/2006/main" count="68" uniqueCount="57">
  <si>
    <t>Model Drivers &amp; Historical Inputs</t>
  </si>
  <si>
    <t>Inflation</t>
  </si>
  <si>
    <t>Fuel Cost Per Gallon</t>
  </si>
  <si>
    <t>Number of Aircraft Leased</t>
  </si>
  <si>
    <t>Column1</t>
  </si>
  <si>
    <t>2022</t>
  </si>
  <si>
    <t>2023</t>
  </si>
  <si>
    <t>2024</t>
  </si>
  <si>
    <t>Averages</t>
  </si>
  <si>
    <t>Avg Rates</t>
  </si>
  <si>
    <t>Operating Revenues</t>
  </si>
  <si>
    <t>Passenger</t>
  </si>
  <si>
    <t>Third Party Products</t>
  </si>
  <si>
    <t>Fixed Fee Contracts</t>
  </si>
  <si>
    <t>Fixed Fee Growth Rate</t>
  </si>
  <si>
    <t>Resort and Other</t>
  </si>
  <si>
    <t>Operating Expenses</t>
  </si>
  <si>
    <t>Salaries and Benefits</t>
  </si>
  <si>
    <t>Wage Inflation</t>
  </si>
  <si>
    <t>Aircraft Fuel</t>
  </si>
  <si>
    <t>Station Operations</t>
  </si>
  <si>
    <t>Stations Ops Rate</t>
  </si>
  <si>
    <t>Depreciation and amoritzation</t>
  </si>
  <si>
    <t>Depreciation Rate</t>
  </si>
  <si>
    <t>Maintenance and Repairs</t>
  </si>
  <si>
    <t>Maintenance Inflation</t>
  </si>
  <si>
    <t xml:space="preserve">Sales and Marketing </t>
  </si>
  <si>
    <t>Aircraft Lease Rentals</t>
  </si>
  <si>
    <t>Other</t>
  </si>
  <si>
    <t>Growth Rate</t>
  </si>
  <si>
    <t>Special charges, nets of recoveries</t>
  </si>
  <si>
    <t>Number of Passengers</t>
  </si>
  <si>
    <t>Avg Passenger Growth</t>
  </si>
  <si>
    <t>TPP Revenue Per Passenger</t>
  </si>
  <si>
    <t>Avg TPP Growth</t>
  </si>
  <si>
    <t>Resort Revenue Per Passenger</t>
  </si>
  <si>
    <t>Resort Revenue Manual Rate</t>
  </si>
  <si>
    <t>Gallons of Fuel Consumed</t>
  </si>
  <si>
    <t>Fuel Consumption</t>
  </si>
  <si>
    <t>Percentage Marketing</t>
  </si>
  <si>
    <t>Lease Rate</t>
  </si>
  <si>
    <t>Allegiant Base Case Income Statement Forecast</t>
  </si>
  <si>
    <t>2022–2024 Actuals | 2025–2030 Forecast</t>
  </si>
  <si>
    <t>Actuals</t>
  </si>
  <si>
    <t>Forecast</t>
  </si>
  <si>
    <t>Year</t>
  </si>
  <si>
    <t>Total Operating Revenues</t>
  </si>
  <si>
    <t>Operating Expenes</t>
  </si>
  <si>
    <t>Total Operating Expenses</t>
  </si>
  <si>
    <t>Forecast Inputs</t>
  </si>
  <si>
    <t>Fare</t>
  </si>
  <si>
    <t>Operating Profit</t>
  </si>
  <si>
    <t>Note: Special Charges use RANDBETWEEN(), so values will recalculate each refresh.</t>
  </si>
  <si>
    <t>Most Profitable Year (Forecast)</t>
  </si>
  <si>
    <t>Least Profitable Year (Forecast)</t>
  </si>
  <si>
    <t>Year of Highest Special Charges (Forecast)</t>
  </si>
  <si>
    <t>Year of Lowest Special Charges (Forecast)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</si>
</sst>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0.0%"/>
    <numFmt numFmtId="166" formatCode="\$#,##0"/>
    <numFmt numFmtId="167" formatCode="\$#,##0.00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rgb="FFFFFFFF"/>
      <name val="Aptos Narrow"/>
    </font>
    <font>
      <b/>
      <sz val="11"/>
      <name val="Aptos Narrow"/>
    </font>
    <font>
      <b/>
      <sz val="11"/>
      <color rgb="FFFFFFFF"/>
      <name val="Aptos Narrow"/>
    </font>
    <font>
      <i/>
      <sz val="11"/>
      <color rgb="FF404040"/>
      <name val="Aptos Narrow"/>
    </font>
    <font>
      <i/>
      <sz val="11"/>
      <color rgb="FF7F6000"/>
      <name val="Aptos Narrow"/>
    </font>
    <font>
      <b/>
      <sz val="11"/>
      <color theme="3"/>
      <name val="Aptos Narrow"/>
      <family val="2"/>
      <scheme val="minor"/>
    </font>
    <font>
      <b/>
      <sz val="11"/>
      <name val="Aptos Narrow"/>
      <family val="2"/>
    </font>
    <font>
      <i/>
      <sz val="11"/>
      <color rgb="FF7F6000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B4C7E7"/>
      </patternFill>
    </fill>
    <fill>
      <patternFill patternType="solid">
        <fgColor rgb="FFD9EAF7"/>
      </patternFill>
    </fill>
    <fill>
      <patternFill patternType="solid">
        <fgColor rgb="FFE2F0D9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/>
      <bottom/>
      <diagonal/>
    </border>
  </borders>
  <cellStyleXfs count="11">
    <xf numFmtId="0" fontId="0" fillId="0" borderId="0"/>
    <xf numFmtId="44" fontId="1" fillId="0" borderId="0"/>
    <xf numFmtId="0" fontId="2" fillId="0" borderId="1"/>
    <xf numFmtId="0" fontId="3" fillId="0" borderId="2"/>
    <xf numFmtId="0" fontId="4" fillId="2" borderId="3"/>
    <xf numFmtId="0" fontId="5" fillId="3" borderId="0"/>
    <xf numFmtId="0" fontId="1" fillId="4" borderId="0"/>
    <xf numFmtId="0" fontId="1" fillId="5" borderId="0"/>
    <xf numFmtId="43" fontId="1" fillId="0" borderId="0"/>
    <xf numFmtId="9" fontId="1" fillId="0" borderId="0"/>
    <xf numFmtId="0" fontId="11" fillId="0" borderId="0" applyNumberFormat="0" applyFill="0" applyBorder="0" applyAlignment="0" applyProtection="0"/>
  </cellStyleXfs>
  <cellXfs count="48">
    <xf numFmtId="0" fontId="0" fillId="0" borderId="0" xfId="0"/>
    <xf numFmtId="3" fontId="0" fillId="0" borderId="0" xfId="0" applyNumberFormat="1"/>
    <xf numFmtId="44" fontId="0" fillId="0" borderId="0" xfId="1" applyFont="1"/>
    <xf numFmtId="44" fontId="0" fillId="0" borderId="0" xfId="0" applyNumberFormat="1"/>
    <xf numFmtId="164" fontId="0" fillId="0" borderId="0" xfId="0" applyNumberFormat="1"/>
    <xf numFmtId="164" fontId="0" fillId="0" borderId="0" xfId="1" applyNumberFormat="1" applyFont="1"/>
    <xf numFmtId="38" fontId="0" fillId="0" borderId="0" xfId="0" applyNumberFormat="1"/>
    <xf numFmtId="9" fontId="0" fillId="0" borderId="0" xfId="9" applyFont="1"/>
    <xf numFmtId="0" fontId="7" fillId="0" borderId="4" xfId="0" applyFont="1" applyBorder="1"/>
    <xf numFmtId="4" fontId="0" fillId="7" borderId="4" xfId="1" applyNumberFormat="1" applyFont="1" applyFill="1" applyBorder="1"/>
    <xf numFmtId="165" fontId="0" fillId="7" borderId="4" xfId="0" applyNumberFormat="1" applyFill="1" applyBorder="1"/>
    <xf numFmtId="1" fontId="0" fillId="7" borderId="4" xfId="0" applyNumberFormat="1" applyFill="1" applyBorder="1"/>
    <xf numFmtId="0" fontId="8" fillId="6" borderId="4" xfId="0" applyFont="1" applyFill="1" applyBorder="1" applyAlignment="1">
      <alignment horizontal="center"/>
    </xf>
    <xf numFmtId="0" fontId="8" fillId="6" borderId="0" xfId="0" applyFont="1" applyFill="1" applyAlignment="1">
      <alignment horizontal="center"/>
    </xf>
    <xf numFmtId="0" fontId="7" fillId="8" borderId="4" xfId="2" applyFont="1" applyFill="1" applyBorder="1"/>
    <xf numFmtId="0" fontId="0" fillId="0" borderId="4" xfId="0" applyBorder="1"/>
    <xf numFmtId="166" fontId="0" fillId="0" borderId="4" xfId="1" applyNumberFormat="1" applyFont="1" applyBorder="1"/>
    <xf numFmtId="0" fontId="7" fillId="9" borderId="4" xfId="0" applyFont="1" applyFill="1" applyBorder="1"/>
    <xf numFmtId="165" fontId="0" fillId="0" borderId="4" xfId="9" applyNumberFormat="1" applyFont="1" applyBorder="1"/>
    <xf numFmtId="166" fontId="0" fillId="0" borderId="0" xfId="1" applyNumberFormat="1" applyFont="1"/>
    <xf numFmtId="3" fontId="0" fillId="0" borderId="4" xfId="0" applyNumberFormat="1" applyBorder="1"/>
    <xf numFmtId="167" fontId="0" fillId="0" borderId="4" xfId="0" applyNumberFormat="1" applyBorder="1"/>
    <xf numFmtId="2" fontId="0" fillId="0" borderId="4" xfId="0" applyNumberFormat="1" applyBorder="1"/>
    <xf numFmtId="3" fontId="0" fillId="0" borderId="4" xfId="8" applyNumberFormat="1" applyFont="1" applyBorder="1"/>
    <xf numFmtId="0" fontId="7" fillId="9" borderId="4" xfId="5" applyFont="1" applyFill="1" applyBorder="1" applyAlignment="1">
      <alignment horizontal="center"/>
    </xf>
    <xf numFmtId="0" fontId="7" fillId="9" borderId="0" xfId="5" applyFont="1" applyFill="1" applyAlignment="1">
      <alignment horizontal="center"/>
    </xf>
    <xf numFmtId="0" fontId="7" fillId="10" borderId="4" xfId="7" applyFont="1" applyFill="1" applyBorder="1" applyAlignment="1">
      <alignment horizontal="center"/>
    </xf>
    <xf numFmtId="0" fontId="7" fillId="10" borderId="0" xfId="7" applyFont="1" applyFill="1" applyAlignment="1">
      <alignment horizontal="center"/>
    </xf>
    <xf numFmtId="0" fontId="8" fillId="6" borderId="4" xfId="6" applyFont="1" applyFill="1" applyBorder="1" applyAlignment="1">
      <alignment horizontal="center"/>
    </xf>
    <xf numFmtId="0" fontId="7" fillId="8" borderId="4" xfId="3" applyFont="1" applyFill="1" applyBorder="1"/>
    <xf numFmtId="166" fontId="0" fillId="0" borderId="4" xfId="0" applyNumberFormat="1" applyBorder="1"/>
    <xf numFmtId="0" fontId="7" fillId="9" borderId="4" xfId="4" applyFont="1" applyFill="1" applyBorder="1"/>
    <xf numFmtId="166" fontId="7" fillId="9" borderId="4" xfId="4" applyNumberFormat="1" applyFont="1" applyFill="1" applyBorder="1"/>
    <xf numFmtId="166" fontId="0" fillId="0" borderId="0" xfId="0" applyNumberFormat="1"/>
    <xf numFmtId="0" fontId="7" fillId="8" borderId="4" xfId="0" applyFont="1" applyFill="1" applyBorder="1"/>
    <xf numFmtId="167" fontId="0" fillId="0" borderId="4" xfId="1" applyNumberFormat="1" applyFont="1" applyBorder="1"/>
    <xf numFmtId="165" fontId="0" fillId="0" borderId="4" xfId="0" applyNumberFormat="1" applyBorder="1"/>
    <xf numFmtId="165" fontId="0" fillId="0" borderId="0" xfId="0" applyNumberFormat="1"/>
    <xf numFmtId="167" fontId="0" fillId="0" borderId="0" xfId="0" applyNumberFormat="1"/>
    <xf numFmtId="0" fontId="6" fillId="6" borderId="4" xfId="0" applyFont="1" applyFill="1" applyBorder="1" applyAlignment="1">
      <alignment horizontal="center"/>
    </xf>
    <xf numFmtId="0" fontId="0" fillId="0" borderId="0" xfId="0"/>
    <xf numFmtId="0" fontId="9" fillId="0" borderId="4" xfId="0" applyFont="1" applyBorder="1" applyAlignment="1">
      <alignment horizontal="center"/>
    </xf>
    <xf numFmtId="0" fontId="0" fillId="0" borderId="0" xfId="0" applyProtection="1">
      <protection locked="0"/>
    </xf>
    <xf numFmtId="0" fontId="12" fillId="0" borderId="4" xfId="0" applyFont="1" applyBorder="1"/>
    <xf numFmtId="0" fontId="10" fillId="0" borderId="0" xfId="0" applyFont="1" applyBorder="1"/>
    <xf numFmtId="0" fontId="11" fillId="8" borderId="4" xfId="10" applyFill="1" applyBorder="1"/>
    <xf numFmtId="0" fontId="12" fillId="9" borderId="4" xfId="4" applyFont="1" applyFill="1" applyBorder="1"/>
    <xf numFmtId="0" fontId="13" fillId="0" borderId="5" xfId="0" applyFont="1" applyBorder="1"/>
  </cellXfs>
  <cellStyles count="11">
    <cellStyle name="20% - Accent1" xfId="6" builtinId="30"/>
    <cellStyle name="20% - Accent2" xfId="7" builtinId="34"/>
    <cellStyle name="Accent1" xfId="5" builtinId="29"/>
    <cellStyle name="Comma" xfId="8" builtinId="3"/>
    <cellStyle name="Currency" xfId="1" builtinId="4"/>
    <cellStyle name="Heading 1" xfId="2" builtinId="16"/>
    <cellStyle name="Heading 2" xfId="3" builtinId="17"/>
    <cellStyle name="Heading 4" xfId="10" builtinId="19"/>
    <cellStyle name="Normal" xfId="0" builtinId="0"/>
    <cellStyle name="Output" xfId="4" builtinId="21"/>
    <cellStyle name="Percent" xfId="9" builtinId="5"/>
  </cellStyles>
  <dxfs count="3">
    <dxf>
      <font>
        <color rgb="FF9C0006"/>
      </font>
    </dxf>
    <dxf>
      <numFmt numFmtId="0" formatCode="General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</a:t>
            </a:r>
            <a:r>
              <a:rPr lang="en-US" baseline="0"/>
              <a:t> Profits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6442825896762906"/>
          <c:y val="0.21337962962962964"/>
          <c:w val="0.68523840769903765"/>
          <c:h val="0.70696741032370958"/>
        </c:manualLayout>
      </c:layout>
      <c:scatterChart>
        <c:scatterStyle val="lineMarker"/>
        <c:varyColors val="0"/>
        <c:ser>
          <c:idx val="1"/>
          <c:order val="0"/>
          <c:tx>
            <c:v>Years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'Income Statement'!$F$5:$K$5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xVal>
          <c:yVal>
            <c:numRef>
              <c:f>'Income Statement'!$F$25:$K$25</c:f>
              <c:numCache>
                <c:formatCode>\$#,##0</c:formatCode>
                <c:ptCount val="6"/>
                <c:pt idx="0">
                  <c:v>1328076557.3100691</c:v>
                </c:pt>
                <c:pt idx="1">
                  <c:v>1221011179.3470254</c:v>
                </c:pt>
                <c:pt idx="2">
                  <c:v>1138396372.5243158</c:v>
                </c:pt>
                <c:pt idx="3">
                  <c:v>837894258.20669317</c:v>
                </c:pt>
                <c:pt idx="4">
                  <c:v>643389738.51512432</c:v>
                </c:pt>
                <c:pt idx="5">
                  <c:v>749064841.41115475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872-47FB-B326-82BD0F1296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89657535"/>
        <c:axId val="1089658015"/>
      </c:scatterChart>
      <c:valAx>
        <c:axId val="1089657535"/>
        <c:scaling>
          <c:orientation val="minMax"/>
          <c:max val="203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58015"/>
        <c:crosses val="autoZero"/>
        <c:crossBetween val="midCat"/>
      </c:valAx>
      <c:valAx>
        <c:axId val="1089658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57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Annual Special Charges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'Income Statement'!$F$5:$K$5</c:f>
              <c:numCache>
                <c:formatCode>General</c:formatCode>
                <c:ptCount val="6"/>
                <c:pt idx="0">
                  <c:v>2025</c:v>
                </c:pt>
                <c:pt idx="1">
                  <c:v>2026</c:v>
                </c:pt>
                <c:pt idx="2">
                  <c:v>2027</c:v>
                </c:pt>
                <c:pt idx="3">
                  <c:v>2028</c:v>
                </c:pt>
                <c:pt idx="4">
                  <c:v>2029</c:v>
                </c:pt>
                <c:pt idx="5">
                  <c:v>2030</c:v>
                </c:pt>
              </c:numCache>
            </c:numRef>
          </c:xVal>
          <c:yVal>
            <c:numRef>
              <c:f>'Income Statement'!$F$22:$K$22</c:f>
              <c:numCache>
                <c:formatCode>\$#,##0</c:formatCode>
                <c:ptCount val="6"/>
                <c:pt idx="0">
                  <c:v>194732638</c:v>
                </c:pt>
                <c:pt idx="1">
                  <c:v>132174797</c:v>
                </c:pt>
                <c:pt idx="2">
                  <c:v>45062957</c:v>
                </c:pt>
                <c:pt idx="3">
                  <c:v>198402678</c:v>
                </c:pt>
                <c:pt idx="4">
                  <c:v>310609288</c:v>
                </c:pt>
                <c:pt idx="5">
                  <c:v>263375970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D5-4741-856B-03F90D6E2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3455247"/>
        <c:axId val="1660000991"/>
      </c:scatterChart>
      <c:valAx>
        <c:axId val="1833455247"/>
        <c:scaling>
          <c:orientation val="minMax"/>
          <c:max val="2030"/>
          <c:min val="20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0000991"/>
        <c:crosses val="autoZero"/>
        <c:crossBetween val="midCat"/>
      </c:valAx>
      <c:valAx>
        <c:axId val="1660000991"/>
        <c:scaling>
          <c:orientation val="minMax"/>
        </c:scaling>
        <c:delete val="0"/>
        <c:axPos val="l"/>
        <c:majorGridlines>
          <c:spPr>
            <a:ln w="12700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3345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15874</xdr:colOff>
      <xdr:row>1</xdr:row>
      <xdr:rowOff>0</xdr:rowOff>
    </xdr:from>
    <xdr:to>
      <xdr:col>17</xdr:col>
      <xdr:colOff>6350</xdr:colOff>
      <xdr:row>19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EB7C4E-DCC9-4B97-156B-B8F504D350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</xdr:colOff>
      <xdr:row>19</xdr:row>
      <xdr:rowOff>177800</xdr:rowOff>
    </xdr:from>
    <xdr:to>
      <xdr:col>17</xdr:col>
      <xdr:colOff>50800</xdr:colOff>
      <xdr:row>38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DEAB36-73C3-C260-4852-8358039DB8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4" displayName="Table4" ref="B10:F27" totalsRowShown="0">
  <autoFilter ref="B10:F27" xr:uid="{00000000-0009-0000-0100-000001000000}"/>
  <tableColumns count="5">
    <tableColumn id="1" xr3:uid="{00000000-0010-0000-0000-000001000000}" name="Column1"/>
    <tableColumn id="2" xr3:uid="{00000000-0010-0000-0000-000002000000}" name="2022"/>
    <tableColumn id="3" xr3:uid="{00000000-0010-0000-0000-000003000000}" name="2023"/>
    <tableColumn id="4" xr3:uid="{00000000-0010-0000-0000-000004000000}" name="2024" dataDxfId="2"/>
    <tableColumn id="5" xr3:uid="{00000000-0010-0000-0000-000005000000}" name="Averages" dataDxfId="1">
      <calculatedColumnFormula>AVERAGE(Table4[[#This Row],[2022]:[2024]])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45"/>
  <sheetViews>
    <sheetView topLeftCell="B1" zoomScaleNormal="100" workbookViewId="0">
      <selection activeCell="C2" sqref="C2"/>
    </sheetView>
  </sheetViews>
  <sheetFormatPr defaultRowHeight="14.5" x14ac:dyDescent="0.35"/>
  <cols>
    <col min="1" max="1" width="3" customWidth="1"/>
    <col min="2" max="2" width="34" customWidth="1"/>
    <col min="3" max="6" width="16" customWidth="1"/>
    <col min="7" max="7" width="26" customWidth="1"/>
    <col min="8" max="8" width="18" customWidth="1"/>
    <col min="9" max="26" width="16" customWidth="1"/>
  </cols>
  <sheetData>
    <row r="1" spans="2:8" ht="18.5" x14ac:dyDescent="0.45">
      <c r="B1" s="39" t="s">
        <v>0</v>
      </c>
      <c r="C1" s="40"/>
      <c r="D1" s="40"/>
      <c r="E1" s="40"/>
      <c r="F1" s="40"/>
      <c r="G1" s="40"/>
      <c r="H1" s="40"/>
    </row>
    <row r="2" spans="2:8" x14ac:dyDescent="0.35">
      <c r="B2" s="43" t="s">
        <v>50</v>
      </c>
      <c r="C2" s="9">
        <v>220</v>
      </c>
    </row>
    <row r="3" spans="2:8" x14ac:dyDescent="0.35">
      <c r="B3" s="8" t="s">
        <v>1</v>
      </c>
      <c r="C3" s="10">
        <f>3%</f>
        <v>0.03</v>
      </c>
    </row>
    <row r="4" spans="2:8" x14ac:dyDescent="0.35">
      <c r="B4" s="8" t="s">
        <v>2</v>
      </c>
      <c r="C4" s="9">
        <v>2.2999999999999998</v>
      </c>
    </row>
    <row r="5" spans="2:8" x14ac:dyDescent="0.35">
      <c r="B5" s="8" t="s">
        <v>3</v>
      </c>
      <c r="C5" s="11">
        <f>40</f>
        <v>40</v>
      </c>
    </row>
    <row r="6" spans="2:8" x14ac:dyDescent="0.35">
      <c r="C6" s="2"/>
    </row>
    <row r="10" spans="2:8" x14ac:dyDescent="0.35">
      <c r="B10" s="12" t="s">
        <v>4</v>
      </c>
      <c r="C10" s="12" t="s">
        <v>5</v>
      </c>
      <c r="D10" s="12" t="s">
        <v>6</v>
      </c>
      <c r="E10" s="12" t="s">
        <v>7</v>
      </c>
      <c r="F10" s="12" t="s">
        <v>8</v>
      </c>
      <c r="G10" s="13"/>
      <c r="H10" s="12" t="s">
        <v>9</v>
      </c>
    </row>
    <row r="11" spans="2:8" ht="20" customHeight="1" x14ac:dyDescent="0.35">
      <c r="B11" s="14" t="s">
        <v>10</v>
      </c>
      <c r="C11" s="1"/>
    </row>
    <row r="12" spans="2:8" ht="15" customHeight="1" x14ac:dyDescent="0.35">
      <c r="B12" s="15" t="s">
        <v>11</v>
      </c>
      <c r="C12" s="16">
        <f>(2137762)*1000</f>
        <v>2137762000</v>
      </c>
      <c r="D12" s="16">
        <f>(2324387)*1000</f>
        <v>2324387000</v>
      </c>
      <c r="E12" s="16">
        <f>(2217059)*1000</f>
        <v>2217059000</v>
      </c>
      <c r="F12" s="16">
        <f>AVERAGE(Table4[[#This Row],[2022]:[2024]])</f>
        <v>2226402666.6666665</v>
      </c>
    </row>
    <row r="13" spans="2:8" x14ac:dyDescent="0.35">
      <c r="B13" s="15" t="s">
        <v>12</v>
      </c>
      <c r="C13" s="16">
        <f>(100959)*1000</f>
        <v>100959000</v>
      </c>
      <c r="D13" s="16">
        <f>(112579)*1000</f>
        <v>112579000</v>
      </c>
      <c r="E13" s="16">
        <f>(142128)*1000</f>
        <v>142128000</v>
      </c>
      <c r="F13" s="16">
        <f>AVERAGE(Table4[[#This Row],[2022]:[2024]])</f>
        <v>118555333.33333333</v>
      </c>
    </row>
    <row r="14" spans="2:8" x14ac:dyDescent="0.35">
      <c r="B14" s="15" t="s">
        <v>13</v>
      </c>
      <c r="C14" s="16">
        <f>(60937)*1000</f>
        <v>60937000</v>
      </c>
      <c r="D14" s="16">
        <f>(68548)*1000</f>
        <v>68548000</v>
      </c>
      <c r="E14" s="16">
        <f>(80660)*1000</f>
        <v>80660000</v>
      </c>
      <c r="F14" s="16">
        <f>AVERAGE(Table4[[#This Row],[2022]:[2024]])</f>
        <v>70048333.333333328</v>
      </c>
      <c r="G14" s="17" t="s">
        <v>14</v>
      </c>
      <c r="H14" s="18">
        <f>AVERAGE((Table4[[#This Row],[2023]]/Table4[[#This Row],[2022]])-1,(Table4[[#This Row],[2024]]/Table4[[#This Row],[2023]])-1)</f>
        <v>0.15079659501842568</v>
      </c>
    </row>
    <row r="15" spans="2:8" x14ac:dyDescent="0.35">
      <c r="B15" s="15" t="s">
        <v>15</v>
      </c>
      <c r="C15" s="16">
        <f>(2171)*1000</f>
        <v>2171000</v>
      </c>
      <c r="D15" s="16">
        <f>(4333)*1000</f>
        <v>4333000</v>
      </c>
      <c r="E15" s="16">
        <f>(72742)*1000</f>
        <v>72742000</v>
      </c>
      <c r="F15" s="16">
        <f>AVERAGE(Table4[[#This Row],[2022]:[2024]])</f>
        <v>26415333.333333332</v>
      </c>
      <c r="H15" s="7"/>
    </row>
    <row r="16" spans="2:8" x14ac:dyDescent="0.35">
      <c r="C16" s="19"/>
      <c r="D16" s="19"/>
      <c r="E16" s="19"/>
      <c r="F16" s="19"/>
      <c r="H16" s="7"/>
    </row>
    <row r="17" spans="2:8" x14ac:dyDescent="0.35">
      <c r="C17" s="19"/>
      <c r="D17" s="19"/>
      <c r="E17" s="19"/>
      <c r="F17" s="19"/>
      <c r="H17" s="7"/>
    </row>
    <row r="18" spans="2:8" ht="20" customHeight="1" x14ac:dyDescent="0.35">
      <c r="B18" s="14" t="s">
        <v>16</v>
      </c>
      <c r="C18" s="19"/>
      <c r="D18" s="19"/>
      <c r="E18" s="19"/>
      <c r="F18" s="19"/>
      <c r="H18" s="7"/>
    </row>
    <row r="19" spans="2:8" ht="15" customHeight="1" x14ac:dyDescent="0.35">
      <c r="B19" s="15" t="s">
        <v>17</v>
      </c>
      <c r="C19" s="16">
        <f>(552413)*1000</f>
        <v>552413000</v>
      </c>
      <c r="D19" s="16">
        <f>(687803)*1000</f>
        <v>687803000</v>
      </c>
      <c r="E19" s="16">
        <f>(819843)*1000</f>
        <v>819843000</v>
      </c>
      <c r="F19" s="16">
        <f>AVERAGE(Table4[[#This Row],[2022]:[2024]])</f>
        <v>686686333.33333337</v>
      </c>
      <c r="G19" s="17" t="s">
        <v>18</v>
      </c>
      <c r="H19" s="18">
        <f>AVERAGE((Table4[[#This Row],[2023]]/Table4[[#This Row],[2022]])-1,(Table4[[#This Row],[2024]]/Table4[[#This Row],[2023]])-1)</f>
        <v>0.21853097034225499</v>
      </c>
    </row>
    <row r="20" spans="2:8" x14ac:dyDescent="0.35">
      <c r="B20" s="15" t="s">
        <v>19</v>
      </c>
      <c r="C20" s="16">
        <f>(814803)*1000</f>
        <v>814803000</v>
      </c>
      <c r="D20" s="16">
        <f>(695871)*1000</f>
        <v>695871000</v>
      </c>
      <c r="E20" s="16">
        <f>(627755)*1000</f>
        <v>627755000</v>
      </c>
      <c r="F20" s="16">
        <f>AVERAGE(Table4[[#This Row],[2022]:[2024]])</f>
        <v>712809666.66666663</v>
      </c>
      <c r="H20" s="7"/>
    </row>
    <row r="21" spans="2:8" x14ac:dyDescent="0.35">
      <c r="B21" s="15" t="s">
        <v>20</v>
      </c>
      <c r="C21" s="16">
        <f>(255168)*1000</f>
        <v>255168000</v>
      </c>
      <c r="D21" s="16">
        <f>(256560)*1000</f>
        <v>256560000</v>
      </c>
      <c r="E21" s="16">
        <f>(272843)*1000</f>
        <v>272843000</v>
      </c>
      <c r="F21" s="16">
        <f>AVERAGE(Table4[[#This Row],[2022]:[2024]])</f>
        <v>261523666.66666666</v>
      </c>
      <c r="G21" s="17" t="s">
        <v>21</v>
      </c>
      <c r="H21" s="18">
        <f>AVERAGE((Table4[[#This Row],[2023]]/Table4[[#This Row],[2022]])-1,(Table4[[#This Row],[2024]]/Table4[[#This Row],[2023]])-1)</f>
        <v>3.4460932490369189E-2</v>
      </c>
    </row>
    <row r="22" spans="2:8" x14ac:dyDescent="0.35">
      <c r="B22" s="15" t="s">
        <v>22</v>
      </c>
      <c r="C22" s="16">
        <f>(197542)*1000</f>
        <v>197542000</v>
      </c>
      <c r="D22" s="16">
        <f>(223130)*1000</f>
        <v>223130000</v>
      </c>
      <c r="E22" s="16">
        <f>(258251)*1000</f>
        <v>258251000</v>
      </c>
      <c r="F22" s="16">
        <f>AVERAGE(Table4[[#This Row],[2022]:[2024]])</f>
        <v>226307666.66666666</v>
      </c>
      <c r="G22" s="17" t="s">
        <v>23</v>
      </c>
      <c r="H22" s="18">
        <f>AVERAGE((Table4[[#This Row],[2023]]/Table4[[#This Row],[2022]])-1,(Table4[[#This Row],[2024]]/Table4[[#This Row],[2023]])-1)</f>
        <v>0.14346673122422249</v>
      </c>
    </row>
    <row r="23" spans="2:8" x14ac:dyDescent="0.35">
      <c r="B23" s="15" t="s">
        <v>24</v>
      </c>
      <c r="C23" s="16">
        <f>(117814)*1000</f>
        <v>117814000</v>
      </c>
      <c r="D23" s="16">
        <f>(123802)*1000</f>
        <v>123802000</v>
      </c>
      <c r="E23" s="16">
        <f>(125430)*1000</f>
        <v>125430000</v>
      </c>
      <c r="F23" s="16">
        <f>AVERAGE(Table4[[#This Row],[2022]:[2024]])</f>
        <v>122348666.66666667</v>
      </c>
      <c r="G23" s="17" t="s">
        <v>25</v>
      </c>
      <c r="H23" s="18">
        <f>AVERAGE((Table4[[#This Row],[2023]]/Table4[[#This Row],[2022]])-1,(Table4[[#This Row],[2024]]/Table4[[#This Row],[2023]])-1)</f>
        <v>3.1987953982718698E-2</v>
      </c>
    </row>
    <row r="24" spans="2:8" x14ac:dyDescent="0.35">
      <c r="B24" s="15" t="s">
        <v>26</v>
      </c>
      <c r="C24" s="16">
        <f>(100678)*1000</f>
        <v>100678000</v>
      </c>
      <c r="D24" s="16">
        <f>(114616)*1000</f>
        <v>114616000</v>
      </c>
      <c r="E24" s="16">
        <f>(106340)*1000</f>
        <v>106340000</v>
      </c>
      <c r="F24" s="16">
        <f>AVERAGE(Table4[[#This Row],[2022]:[2024]])</f>
        <v>107211333.33333333</v>
      </c>
      <c r="H24" s="7"/>
    </row>
    <row r="25" spans="2:8" x14ac:dyDescent="0.35">
      <c r="B25" s="15" t="s">
        <v>27</v>
      </c>
      <c r="C25" s="16">
        <f>(23621)*1000</f>
        <v>23621000</v>
      </c>
      <c r="D25" s="16">
        <f>(24948)*1000</f>
        <v>24948000</v>
      </c>
      <c r="E25" s="16">
        <f>(23573)*1000</f>
        <v>23573000</v>
      </c>
      <c r="F25" s="16">
        <f>AVERAGE(Table4[[#This Row],[2022]:[2024]])</f>
        <v>24047333.333333332</v>
      </c>
      <c r="H25" s="7"/>
    </row>
    <row r="26" spans="2:8" x14ac:dyDescent="0.35">
      <c r="B26" s="15" t="s">
        <v>28</v>
      </c>
      <c r="C26" s="16">
        <f>(113532)*1000</f>
        <v>113532000</v>
      </c>
      <c r="D26" s="16">
        <f>(133501)*1000</f>
        <v>133501000</v>
      </c>
      <c r="E26" s="16">
        <f>(150399)*1000</f>
        <v>150399000</v>
      </c>
      <c r="F26" s="16">
        <f>AVERAGE(Table4[[#This Row],[2022]:[2024]])</f>
        <v>132477333.33333333</v>
      </c>
      <c r="G26" s="17" t="s">
        <v>29</v>
      </c>
      <c r="H26" s="18">
        <f>AVERAGE((Table4[[#This Row],[2023]]/Table4[[#This Row],[2022]])-1,(Table4[[#This Row],[2024]]/Table4[[#This Row],[2023]])-1)</f>
        <v>0.15123228355399632</v>
      </c>
    </row>
    <row r="27" spans="2:8" x14ac:dyDescent="0.35">
      <c r="B27" s="15" t="s">
        <v>30</v>
      </c>
      <c r="C27" s="16">
        <f>(34612)*1000</f>
        <v>34612000</v>
      </c>
      <c r="D27" s="16">
        <f>(28645)*1000</f>
        <v>28645000</v>
      </c>
      <c r="E27" s="16">
        <f>(368131)*1000</f>
        <v>368131000</v>
      </c>
      <c r="F27" s="16">
        <f>AVERAGE(Table4[[#This Row],[2022]:[2024]])</f>
        <v>143796000</v>
      </c>
      <c r="H27" s="7"/>
    </row>
    <row r="28" spans="2:8" x14ac:dyDescent="0.35">
      <c r="H28" s="7"/>
    </row>
    <row r="29" spans="2:8" x14ac:dyDescent="0.35">
      <c r="B29" s="15" t="s">
        <v>31</v>
      </c>
      <c r="C29" s="20">
        <f>16796544</f>
        <v>16796544</v>
      </c>
      <c r="D29" s="20">
        <f>17342236</f>
        <v>17342236</v>
      </c>
      <c r="E29" s="20">
        <f>16982836</f>
        <v>16982836</v>
      </c>
      <c r="F29" s="6"/>
      <c r="G29" s="17" t="s">
        <v>32</v>
      </c>
      <c r="H29" s="18">
        <f>AVERAGE(($D29/$C29)-1,($E29/$D29)-1)</f>
        <v>5.8821893751093146E-3</v>
      </c>
    </row>
    <row r="30" spans="2:8" x14ac:dyDescent="0.35">
      <c r="B30" s="15" t="s">
        <v>33</v>
      </c>
      <c r="C30" s="21">
        <f>(C$13)/C$29</f>
        <v>6.0107007727303898</v>
      </c>
      <c r="D30" s="21">
        <f>(D$13)/D$29</f>
        <v>6.4916081178920644</v>
      </c>
      <c r="E30" s="21">
        <f>(E$13)/E$29</f>
        <v>8.3689202439451211</v>
      </c>
      <c r="F30" s="3"/>
      <c r="G30" s="17" t="s">
        <v>34</v>
      </c>
      <c r="H30" s="18">
        <f>AVERAGE(($D30/$C30)-1,($E30/$D30)-1)</f>
        <v>0.18459957212504408</v>
      </c>
    </row>
    <row r="31" spans="2:8" x14ac:dyDescent="0.35">
      <c r="B31" s="15" t="s">
        <v>35</v>
      </c>
      <c r="C31" s="22">
        <f>C$15/C$29</f>
        <v>0.12925277961942647</v>
      </c>
      <c r="D31" s="22">
        <f>D$15/D$29</f>
        <v>0.24985244117309902</v>
      </c>
      <c r="E31" s="22">
        <f>E$15/E$29</f>
        <v>4.2832657631505127</v>
      </c>
      <c r="F31" s="3"/>
      <c r="G31" s="17" t="s">
        <v>36</v>
      </c>
      <c r="H31" s="18">
        <v>0.65</v>
      </c>
    </row>
    <row r="32" spans="2:8" x14ac:dyDescent="0.35">
      <c r="B32" s="15" t="s">
        <v>37</v>
      </c>
      <c r="C32" s="23">
        <f>218606000</f>
        <v>218606000</v>
      </c>
      <c r="D32" s="23">
        <f>224996000</f>
        <v>224996000</v>
      </c>
      <c r="E32" s="23">
        <f>227345000</f>
        <v>227345000</v>
      </c>
      <c r="G32" s="17" t="s">
        <v>38</v>
      </c>
      <c r="H32" s="18">
        <f>AVERAGE(($D32/$C32)-1,($E32/$D32)-1)</f>
        <v>1.9835428153835988E-2</v>
      </c>
    </row>
    <row r="33" spans="2:12" x14ac:dyDescent="0.35">
      <c r="B33" s="15" t="s">
        <v>39</v>
      </c>
      <c r="C33" s="18">
        <f>C$24/SUM(C$12:C$15)</f>
        <v>4.3738262051611999E-2</v>
      </c>
      <c r="D33" s="18">
        <f>D$24/SUM(D$12:D$15)</f>
        <v>4.5666528676847631E-2</v>
      </c>
      <c r="E33" s="18">
        <f>E$24/SUM(E$12:E$15)</f>
        <v>4.2322878910955992E-2</v>
      </c>
      <c r="F33" s="18">
        <f>F$24/SUM(F$12:F$15)</f>
        <v>4.3913484834314426E-2</v>
      </c>
    </row>
    <row r="34" spans="2:12" x14ac:dyDescent="0.35">
      <c r="B34" s="15" t="s">
        <v>40</v>
      </c>
      <c r="C34" s="21">
        <f>C$25/($C$5*12)</f>
        <v>49210.416666666664</v>
      </c>
      <c r="D34" s="21">
        <f>D$25/($C$5*12)</f>
        <v>51975</v>
      </c>
      <c r="E34" s="21">
        <f>E$25/($C$5*12)</f>
        <v>49110.416666666664</v>
      </c>
      <c r="F34" s="21">
        <f>F$25/($C$5*12)</f>
        <v>50098.611111111109</v>
      </c>
    </row>
    <row r="36" spans="2:12" x14ac:dyDescent="0.35">
      <c r="L36">
        <f>A1</f>
        <v>0</v>
      </c>
    </row>
    <row r="37" spans="2:12" x14ac:dyDescent="0.35">
      <c r="C37" s="3"/>
    </row>
    <row r="45" spans="2:12" x14ac:dyDescent="0.35">
      <c r="E45" s="42"/>
    </row>
  </sheetData>
  <mergeCells count="1">
    <mergeCell ref="B1:H1"/>
  </mergeCells>
  <dataValidations count="2">
    <dataValidation type="list" allowBlank="1" showInputMessage="1" showErrorMessage="1" sqref="C2" xr:uid="{A68CE3D5-FDC2-4A9C-944C-C526475A8D1D}">
      <formula1>"90, 100, 115, 120, 150, 162, 177, 185, 196, 202, 220, 246, 288, 306, 330, 400, 434, 500"</formula1>
    </dataValidation>
    <dataValidation type="list" allowBlank="1" showInputMessage="1" showErrorMessage="1" sqref="C4" xr:uid="{D3FA314E-E4C5-47E3-A1C9-9F7D3B2974C7}">
      <formula1>"2, 2.30,2.80,3,3.05,3.15,3.40,3.87,4,4.09,4.17,4.40,4.88,5"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1"/>
  <sheetViews>
    <sheetView workbookViewId="0">
      <pane xSplit="2" ySplit="5" topLeftCell="C6" activePane="bottomRight" state="frozen"/>
      <selection pane="topRight"/>
      <selection pane="bottomLeft"/>
      <selection pane="bottomRight" activeCell="F17" sqref="F17"/>
    </sheetView>
  </sheetViews>
  <sheetFormatPr defaultRowHeight="14.5" x14ac:dyDescent="0.35"/>
  <cols>
    <col min="1" max="1" width="3" customWidth="1"/>
    <col min="2" max="2" width="34" customWidth="1"/>
    <col min="3" max="3" width="15" bestFit="1" customWidth="1"/>
    <col min="4" max="11" width="15" customWidth="1"/>
  </cols>
  <sheetData>
    <row r="1" spans="2:11" ht="18.5" x14ac:dyDescent="0.45">
      <c r="B1" s="39" t="s">
        <v>41</v>
      </c>
      <c r="C1" s="40"/>
      <c r="D1" s="40"/>
      <c r="E1" s="40"/>
      <c r="F1" s="40"/>
      <c r="G1" s="40"/>
      <c r="H1" s="40"/>
      <c r="I1" s="40"/>
      <c r="J1" s="40"/>
      <c r="K1" s="40"/>
    </row>
    <row r="2" spans="2:11" x14ac:dyDescent="0.35">
      <c r="B2" s="41" t="s">
        <v>42</v>
      </c>
      <c r="C2" s="40"/>
      <c r="D2" s="40"/>
      <c r="E2" s="40"/>
      <c r="F2" s="40"/>
      <c r="G2" s="40"/>
      <c r="H2" s="40"/>
      <c r="I2" s="40"/>
      <c r="J2" s="40"/>
      <c r="K2" s="40"/>
    </row>
    <row r="4" spans="2:11" ht="26" customHeight="1" x14ac:dyDescent="0.35">
      <c r="C4" s="24" t="s">
        <v>43</v>
      </c>
      <c r="D4" s="25"/>
      <c r="E4" s="25"/>
      <c r="F4" s="26" t="s">
        <v>44</v>
      </c>
      <c r="G4" s="27"/>
      <c r="H4" s="27"/>
      <c r="I4" s="27"/>
      <c r="J4" s="27"/>
      <c r="K4" s="27"/>
    </row>
    <row r="5" spans="2:11" ht="21" customHeight="1" x14ac:dyDescent="0.35">
      <c r="B5" s="28" t="s">
        <v>45</v>
      </c>
      <c r="C5" s="28">
        <v>2022</v>
      </c>
      <c r="D5" s="28">
        <v>2023</v>
      </c>
      <c r="E5" s="28">
        <v>2024</v>
      </c>
      <c r="F5" s="28">
        <f t="shared" ref="F5:K5" si="0">E$5+1</f>
        <v>2025</v>
      </c>
      <c r="G5" s="28">
        <f t="shared" si="0"/>
        <v>2026</v>
      </c>
      <c r="H5" s="28">
        <f t="shared" si="0"/>
        <v>2027</v>
      </c>
      <c r="I5" s="28">
        <f t="shared" si="0"/>
        <v>2028</v>
      </c>
      <c r="J5" s="28">
        <f t="shared" si="0"/>
        <v>2029</v>
      </c>
      <c r="K5" s="28">
        <f t="shared" si="0"/>
        <v>2030</v>
      </c>
    </row>
    <row r="6" spans="2:11" x14ac:dyDescent="0.35">
      <c r="B6" s="45" t="s">
        <v>10</v>
      </c>
      <c r="C6" s="3"/>
      <c r="D6" s="3"/>
      <c r="E6" s="3"/>
    </row>
    <row r="7" spans="2:11" ht="17.5" customHeight="1" x14ac:dyDescent="0.35">
      <c r="B7" s="15" t="str">
        <f t="array" ref="B7:B10">Data!B12:B15</f>
        <v>Passenger</v>
      </c>
      <c r="C7" s="30">
        <f t="array" ref="C7:E10">Data!C12:E15</f>
        <v>2137762000</v>
      </c>
      <c r="D7" s="30">
        <v>2324387000</v>
      </c>
      <c r="E7" s="30">
        <v>2217059000</v>
      </c>
      <c r="F7" s="16">
        <f>F$35*Data!$C$2</f>
        <v>3758201096.6452532</v>
      </c>
      <c r="G7" s="16">
        <f>G$35*Data!$C$2</f>
        <v>3780307547.2054644</v>
      </c>
      <c r="H7" s="16">
        <f>H$35*Data!$C$2</f>
        <v>3802544032.0942817</v>
      </c>
      <c r="I7" s="16">
        <f>I$35*Data!$C$2</f>
        <v>3824911316.1982527</v>
      </c>
      <c r="J7" s="16">
        <f>J$35*Data!$C$2</f>
        <v>3847410168.9031296</v>
      </c>
      <c r="K7" s="16">
        <f>K$35*Data!$C$2</f>
        <v>3870041364.1203389</v>
      </c>
    </row>
    <row r="8" spans="2:11" ht="15" customHeight="1" x14ac:dyDescent="0.35">
      <c r="B8" s="15" t="str">
        <v>Third Party Products</v>
      </c>
      <c r="C8" s="30">
        <v>100959000</v>
      </c>
      <c r="D8" s="30">
        <v>112579000</v>
      </c>
      <c r="E8" s="30">
        <v>142128000</v>
      </c>
      <c r="F8" s="16">
        <f t="shared" ref="F8:K8" si="1">F$35*F$36</f>
        <v>169355121.43638408</v>
      </c>
      <c r="G8" s="16">
        <f t="shared" si="1"/>
        <v>201798077.48460823</v>
      </c>
      <c r="H8" s="16">
        <f t="shared" si="1"/>
        <v>240456053.12137422</v>
      </c>
      <c r="I8" s="16">
        <f t="shared" si="1"/>
        <v>286519644.80245948</v>
      </c>
      <c r="J8" s="16">
        <f t="shared" si="1"/>
        <v>341407528.70250875</v>
      </c>
      <c r="K8" s="16">
        <f t="shared" si="1"/>
        <v>406810153.40192753</v>
      </c>
    </row>
    <row r="9" spans="2:11" x14ac:dyDescent="0.35">
      <c r="B9" s="15" t="str">
        <v>Fixed Fee Contracts</v>
      </c>
      <c r="C9" s="30">
        <v>60937000</v>
      </c>
      <c r="D9" s="30">
        <v>68548000</v>
      </c>
      <c r="E9" s="30">
        <v>80660000</v>
      </c>
      <c r="F9" s="16">
        <f>E$9*(1+Data!$H$14)</f>
        <v>92823253.354186222</v>
      </c>
      <c r="G9" s="16">
        <f>F$9*(1+Data!$H$14)</f>
        <v>106820683.89853017</v>
      </c>
      <c r="H9" s="16">
        <f>G$9*(1+Data!$H$14)</f>
        <v>122928879.30796809</v>
      </c>
      <c r="I9" s="16">
        <f>H$9*(1+Data!$H$14)</f>
        <v>141466135.7370407</v>
      </c>
      <c r="J9" s="16">
        <f>I$9*(1+Data!$H$14)</f>
        <v>162798747.31660089</v>
      </c>
      <c r="K9" s="16">
        <f>J$9*(1+Data!$H$14)</f>
        <v>187348244.0852094</v>
      </c>
    </row>
    <row r="10" spans="2:11" x14ac:dyDescent="0.35">
      <c r="B10" s="15" t="str">
        <v>Resort and Other</v>
      </c>
      <c r="C10" s="30">
        <v>2171000</v>
      </c>
      <c r="D10" s="30">
        <v>4333000</v>
      </c>
      <c r="E10" s="30">
        <v>72742000</v>
      </c>
      <c r="F10" s="16">
        <f t="shared" ref="F10:K10" si="2">F$35*F$37</f>
        <v>120730305.66221493</v>
      </c>
      <c r="G10" s="16">
        <f t="shared" si="2"/>
        <v>200376765.90266761</v>
      </c>
      <c r="H10" s="16">
        <f t="shared" si="2"/>
        <v>332566442.9770304</v>
      </c>
      <c r="I10" s="16">
        <f t="shared" si="2"/>
        <v>551962391.92780578</v>
      </c>
      <c r="J10" s="16">
        <f t="shared" si="2"/>
        <v>916095079.75435483</v>
      </c>
      <c r="K10" s="16">
        <f t="shared" si="2"/>
        <v>1520448145.4234748</v>
      </c>
    </row>
    <row r="11" spans="2:11" x14ac:dyDescent="0.35">
      <c r="B11" s="31" t="s">
        <v>46</v>
      </c>
      <c r="C11" s="32">
        <f t="shared" ref="C11:K11" si="3">SUM(C$7:C$10)</f>
        <v>2301829000</v>
      </c>
      <c r="D11" s="32">
        <f t="shared" si="3"/>
        <v>2509847000</v>
      </c>
      <c r="E11" s="32">
        <f t="shared" si="3"/>
        <v>2512589000</v>
      </c>
      <c r="F11" s="32">
        <f t="shared" si="3"/>
        <v>4141109777.0980382</v>
      </c>
      <c r="G11" s="32">
        <f t="shared" si="3"/>
        <v>4289303074.4912701</v>
      </c>
      <c r="H11" s="32">
        <f t="shared" si="3"/>
        <v>4498495407.5006542</v>
      </c>
      <c r="I11" s="32">
        <f t="shared" si="3"/>
        <v>4804859488.6655588</v>
      </c>
      <c r="J11" s="32">
        <f t="shared" si="3"/>
        <v>5267711524.6765938</v>
      </c>
      <c r="K11" s="32">
        <f t="shared" si="3"/>
        <v>5984647907.0309505</v>
      </c>
    </row>
    <row r="12" spans="2:11" x14ac:dyDescent="0.35">
      <c r="C12" s="4"/>
      <c r="D12" s="4"/>
      <c r="E12" s="4"/>
    </row>
    <row r="13" spans="2:11" x14ac:dyDescent="0.35">
      <c r="B13" s="29" t="s">
        <v>47</v>
      </c>
      <c r="C13" s="33"/>
      <c r="D13" s="33"/>
      <c r="E13" s="33"/>
      <c r="F13" s="33"/>
      <c r="G13" s="33"/>
      <c r="H13" s="33"/>
      <c r="I13" s="33"/>
      <c r="J13" s="33"/>
      <c r="K13" s="33"/>
    </row>
    <row r="14" spans="2:11" ht="17.5" customHeight="1" x14ac:dyDescent="0.35">
      <c r="B14" s="15" t="s">
        <v>17</v>
      </c>
      <c r="C14" s="30">
        <f>Data!$C19</f>
        <v>552413000</v>
      </c>
      <c r="D14" s="30">
        <f>Data!$D19</f>
        <v>687803000</v>
      </c>
      <c r="E14" s="30">
        <f>Data!$E19</f>
        <v>819843000</v>
      </c>
      <c r="F14" s="16">
        <f>E$14*(1+Data!$H$19)</f>
        <v>999004086.31830525</v>
      </c>
      <c r="G14" s="16">
        <f>F$14*(1+Data!$H$19)</f>
        <v>1217317418.6773221</v>
      </c>
      <c r="H14" s="16">
        <f>G$14*(1+Data!$H$19)</f>
        <v>1483338975.3954062</v>
      </c>
      <c r="I14" s="16">
        <f>H$14*(1+Data!$H$19)</f>
        <v>1807494481.0350506</v>
      </c>
      <c r="J14" s="16">
        <f>I$14*(1+Data!$H$19)</f>
        <v>2202488003.8639107</v>
      </c>
      <c r="K14" s="16">
        <f>J$14*(1+Data!$H$19)</f>
        <v>2683799844.5154672</v>
      </c>
    </row>
    <row r="15" spans="2:11" ht="15" customHeight="1" x14ac:dyDescent="0.35">
      <c r="B15" s="15" t="s">
        <v>19</v>
      </c>
      <c r="C15" s="30">
        <f>Data!$C20</f>
        <v>814803000</v>
      </c>
      <c r="D15" s="30">
        <f>Data!$D20</f>
        <v>695871000</v>
      </c>
      <c r="E15" s="30">
        <f>Data!$E20</f>
        <v>627755000</v>
      </c>
      <c r="F15" s="16">
        <f>F$38*Data!$C$4</f>
        <v>533265316.45135784</v>
      </c>
      <c r="G15" s="16">
        <f>G$38*Data!$C$4</f>
        <v>543842862.3227613</v>
      </c>
      <c r="H15" s="16">
        <f>H$38*Data!$C$4</f>
        <v>554630218.34534097</v>
      </c>
      <c r="I15" s="16">
        <f>I$38*Data!$C$4</f>
        <v>565631546.19327641</v>
      </c>
      <c r="J15" s="16">
        <f>J$38*Data!$C$4</f>
        <v>576851090.08933628</v>
      </c>
      <c r="K15" s="16">
        <f>K$38*Data!$C$4</f>
        <v>588293178.44226527</v>
      </c>
    </row>
    <row r="16" spans="2:11" x14ac:dyDescent="0.35">
      <c r="B16" s="15" t="s">
        <v>20</v>
      </c>
      <c r="C16" s="30">
        <f>Data!$C21</f>
        <v>255168000</v>
      </c>
      <c r="D16" s="30">
        <f>Data!$D21</f>
        <v>256560000</v>
      </c>
      <c r="E16" s="30">
        <f>Data!$E21</f>
        <v>272843000</v>
      </c>
      <c r="F16" s="16">
        <f>E$16*(1+Data!$H$21)</f>
        <v>282245424.20346975</v>
      </c>
      <c r="G16" s="16">
        <f>F$16*(1+Data!$H$21)</f>
        <v>291971864.71266109</v>
      </c>
      <c r="H16" s="16">
        <f>G$16*(1+Data!$H$21)</f>
        <v>302033487.4316113</v>
      </c>
      <c r="I16" s="16">
        <f>H$16*(1+Data!$H$21)</f>
        <v>312441843.05182278</v>
      </c>
      <c r="J16" s="16">
        <f>I$16*(1+Data!$H$21)</f>
        <v>323208880.31239814</v>
      </c>
      <c r="K16" s="16">
        <f>J$16*(1+Data!$H$21)</f>
        <v>334346959.7171315</v>
      </c>
    </row>
    <row r="17" spans="2:12" x14ac:dyDescent="0.35">
      <c r="B17" s="15" t="s">
        <v>22</v>
      </c>
      <c r="C17" s="30">
        <f>Data!$C22</f>
        <v>197542000</v>
      </c>
      <c r="D17" s="30">
        <f>Data!$D22</f>
        <v>223130000</v>
      </c>
      <c r="E17" s="30">
        <f>Data!$E22</f>
        <v>258251000</v>
      </c>
      <c r="F17" s="16">
        <f>E$17*(1+Data!$H$22)</f>
        <v>295301426.80538672</v>
      </c>
      <c r="G17" s="16">
        <f>F$17*(1+Data!$H$22)</f>
        <v>337667357.2350046</v>
      </c>
      <c r="H17" s="16">
        <f>G$17*(1+Data!$H$22)</f>
        <v>386111389.21863258</v>
      </c>
      <c r="I17" s="16">
        <f>H$17*(1+Data!$H$22)</f>
        <v>441505528.11827332</v>
      </c>
      <c r="J17" s="16">
        <f>I$17*(1+Data!$H$22)</f>
        <v>504846883.05482608</v>
      </c>
      <c r="K17" s="16">
        <f>J$17*(1+Data!$H$22)</f>
        <v>577275615.1354394</v>
      </c>
    </row>
    <row r="18" spans="2:12" x14ac:dyDescent="0.35">
      <c r="B18" s="15" t="s">
        <v>24</v>
      </c>
      <c r="C18" s="30">
        <f>Data!$C23</f>
        <v>117814000</v>
      </c>
      <c r="D18" s="30">
        <f>Data!$D23</f>
        <v>123802000</v>
      </c>
      <c r="E18" s="30">
        <f>Data!$E23</f>
        <v>125430000</v>
      </c>
      <c r="F18" s="16">
        <f>E$18*(1+Data!$H$23)</f>
        <v>129442249.0680524</v>
      </c>
      <c r="G18" s="16">
        <f>F$18*(1+Data!$H$23)</f>
        <v>133582841.77466086</v>
      </c>
      <c r="H18" s="16">
        <f>G$18*(1+Data!$H$23)</f>
        <v>137855883.57022947</v>
      </c>
      <c r="I18" s="16">
        <f>H$18*(1+Data!$H$23)</f>
        <v>142265611.23012099</v>
      </c>
      <c r="J18" s="16">
        <f>I$18*(1+Data!$H$23)</f>
        <v>146816397.05547342</v>
      </c>
      <c r="K18" s="16">
        <f>J$18*(1+Data!$H$23)</f>
        <v>151512753.20839244</v>
      </c>
    </row>
    <row r="19" spans="2:12" x14ac:dyDescent="0.35">
      <c r="B19" s="15" t="s">
        <v>26</v>
      </c>
      <c r="C19" s="30">
        <f>Data!$C24</f>
        <v>100678000</v>
      </c>
      <c r="D19" s="30">
        <f>Data!$D24</f>
        <v>114616000</v>
      </c>
      <c r="E19" s="30">
        <f>Data!$E24</f>
        <v>106340000</v>
      </c>
      <c r="F19" s="16">
        <f>F$11*Data!$F$33</f>
        <v>181850561.39382589</v>
      </c>
      <c r="G19" s="16">
        <f>G$11*Data!$F$33</f>
        <v>188358245.51145062</v>
      </c>
      <c r="H19" s="16">
        <f>H$11*Data!$F$33</f>
        <v>197544609.85451308</v>
      </c>
      <c r="I19" s="16">
        <f>I$11*Data!$F$33</f>
        <v>210998124.28652677</v>
      </c>
      <c r="J19" s="16">
        <f>J$11*Data!$F$33</f>
        <v>231323570.15042892</v>
      </c>
      <c r="K19" s="16">
        <f>K$11*Data!$F$33</f>
        <v>262806745.10411522</v>
      </c>
    </row>
    <row r="20" spans="2:12" x14ac:dyDescent="0.35">
      <c r="B20" s="15" t="s">
        <v>27</v>
      </c>
      <c r="C20" s="30">
        <f>Data!$C25</f>
        <v>23621000</v>
      </c>
      <c r="D20" s="30">
        <f>Data!$D25</f>
        <v>24948000</v>
      </c>
      <c r="E20" s="30">
        <f>Data!$E25</f>
        <v>23573000</v>
      </c>
      <c r="F20" s="16">
        <f>AVERAGE($C$20,$D$20,$E$20)</f>
        <v>24047333.333333332</v>
      </c>
      <c r="G20" s="16">
        <f t="shared" ref="G20:K20" si="4">AVERAGE($C$20,$D$20,$E$20)</f>
        <v>24047333.333333332</v>
      </c>
      <c r="H20" s="16">
        <f t="shared" si="4"/>
        <v>24047333.333333332</v>
      </c>
      <c r="I20" s="16">
        <f t="shared" si="4"/>
        <v>24047333.333333332</v>
      </c>
      <c r="J20" s="16">
        <f t="shared" si="4"/>
        <v>24047333.333333332</v>
      </c>
      <c r="K20" s="16">
        <f t="shared" si="4"/>
        <v>24047333.333333332</v>
      </c>
    </row>
    <row r="21" spans="2:12" x14ac:dyDescent="0.35">
      <c r="B21" s="15" t="s">
        <v>28</v>
      </c>
      <c r="C21" s="30">
        <f>Data!$C26</f>
        <v>113532000</v>
      </c>
      <c r="D21" s="30">
        <f>Data!$D26</f>
        <v>133501000</v>
      </c>
      <c r="E21" s="30">
        <f>Data!$E26</f>
        <v>150399000</v>
      </c>
      <c r="F21" s="16">
        <f>E$21*(1+Data!$H$26)</f>
        <v>173144184.21423748</v>
      </c>
      <c r="G21" s="16">
        <f>F$21*(1+Data!$H$26)</f>
        <v>199329174.57705042</v>
      </c>
      <c r="H21" s="16">
        <f>G$21*(1+Data!$H$26)</f>
        <v>229474180.82727095</v>
      </c>
      <c r="I21" s="16">
        <f>H$21*(1+Data!$H$26)</f>
        <v>264178085.21046183</v>
      </c>
      <c r="J21" s="16">
        <f>I$21*(1+Data!$H$26)</f>
        <v>304130340.30176216</v>
      </c>
      <c r="K21" s="16">
        <f>J$21*(1+Data!$H$26)</f>
        <v>350124666.16365165</v>
      </c>
    </row>
    <row r="22" spans="2:12" x14ac:dyDescent="0.35">
      <c r="B22" s="15" t="s">
        <v>30</v>
      </c>
      <c r="C22" s="30">
        <f>Data!$C27</f>
        <v>34612000</v>
      </c>
      <c r="D22" s="30">
        <f>Data!$D27</f>
        <v>28645000</v>
      </c>
      <c r="E22" s="30">
        <f>Data!$E27</f>
        <v>368131000</v>
      </c>
      <c r="F22" s="16">
        <f t="shared" ref="F22:K22" ca="1" si="5">RANDBETWEEN($D$22,$E$22)</f>
        <v>194732638</v>
      </c>
      <c r="G22" s="16">
        <f t="shared" ca="1" si="5"/>
        <v>132174797</v>
      </c>
      <c r="H22" s="16">
        <f t="shared" ca="1" si="5"/>
        <v>45062957</v>
      </c>
      <c r="I22" s="16">
        <f t="shared" ca="1" si="5"/>
        <v>198402678</v>
      </c>
      <c r="J22" s="16">
        <f t="shared" ca="1" si="5"/>
        <v>310609288</v>
      </c>
      <c r="K22" s="16">
        <f t="shared" ca="1" si="5"/>
        <v>263375970</v>
      </c>
      <c r="L22" s="5"/>
    </row>
    <row r="23" spans="2:12" x14ac:dyDescent="0.35">
      <c r="B23" s="31" t="s">
        <v>48</v>
      </c>
      <c r="C23" s="32">
        <f t="shared" ref="C23:K25" si="6">SUM(C$14:C$22)</f>
        <v>2210183000</v>
      </c>
      <c r="D23" s="32">
        <f t="shared" si="6"/>
        <v>2288876000</v>
      </c>
      <c r="E23" s="32">
        <f t="shared" si="6"/>
        <v>2752565000</v>
      </c>
      <c r="F23" s="32">
        <f t="shared" ca="1" si="6"/>
        <v>2813033219.7879691</v>
      </c>
      <c r="G23" s="32">
        <f t="shared" ca="1" si="6"/>
        <v>3068291895.1442447</v>
      </c>
      <c r="H23" s="32">
        <f t="shared" ca="1" si="6"/>
        <v>3360099034.9763384</v>
      </c>
      <c r="I23" s="32">
        <f t="shared" ca="1" si="6"/>
        <v>3966965230.4588656</v>
      </c>
      <c r="J23" s="32">
        <f t="shared" ca="1" si="6"/>
        <v>4624321786.1614695</v>
      </c>
      <c r="K23" s="32">
        <f t="shared" ca="1" si="6"/>
        <v>5235583065.6197958</v>
      </c>
    </row>
    <row r="25" spans="2:12" x14ac:dyDescent="0.35">
      <c r="B25" s="46" t="s">
        <v>51</v>
      </c>
      <c r="C25" s="32">
        <f>C$11-C$23</f>
        <v>91646000</v>
      </c>
      <c r="D25" s="32">
        <f t="shared" ref="D25:K25" si="7">D$11-D$23</f>
        <v>220971000</v>
      </c>
      <c r="E25" s="32">
        <f t="shared" si="7"/>
        <v>-239976000</v>
      </c>
      <c r="F25" s="32">
        <f t="shared" ca="1" si="7"/>
        <v>1328076557.3100691</v>
      </c>
      <c r="G25" s="32">
        <f t="shared" ca="1" si="7"/>
        <v>1221011179.3470254</v>
      </c>
      <c r="H25" s="32">
        <f t="shared" ca="1" si="7"/>
        <v>1138396372.5243158</v>
      </c>
      <c r="I25" s="32">
        <f t="shared" ca="1" si="7"/>
        <v>837894258.20669317</v>
      </c>
      <c r="J25" s="32">
        <f t="shared" ca="1" si="7"/>
        <v>643389738.51512432</v>
      </c>
      <c r="K25" s="32">
        <f t="shared" ca="1" si="7"/>
        <v>749064841.41115475</v>
      </c>
    </row>
    <row r="29" spans="2:12" x14ac:dyDescent="0.35">
      <c r="L29" s="3"/>
    </row>
    <row r="34" spans="2:11" x14ac:dyDescent="0.35">
      <c r="B34" s="34" t="s">
        <v>49</v>
      </c>
    </row>
    <row r="35" spans="2:11" x14ac:dyDescent="0.35">
      <c r="B35" s="15" t="s">
        <v>31</v>
      </c>
      <c r="C35" s="20">
        <f t="array" ref="C35:E35">Data!C29:E29</f>
        <v>16796544</v>
      </c>
      <c r="D35" s="23">
        <v>17342236</v>
      </c>
      <c r="E35" s="23">
        <v>16982836</v>
      </c>
      <c r="F35" s="20">
        <f>E$35*(1+Data!$H$29)</f>
        <v>17082732.257478423</v>
      </c>
      <c r="G35" s="20">
        <f>F$35*(1+Data!$H$29)</f>
        <v>17183216.123661201</v>
      </c>
      <c r="H35" s="20">
        <f>G$35*(1+Data!$H$29)</f>
        <v>17284291.054974008</v>
      </c>
      <c r="I35" s="20">
        <f>H$35*(1+Data!$H$29)</f>
        <v>17385960.528173875</v>
      </c>
      <c r="J35" s="20">
        <f>I$35*(1+Data!$H$29)</f>
        <v>17488228.040468771</v>
      </c>
      <c r="K35" s="20">
        <f>J$35*(1+Data!$H$29)</f>
        <v>17591097.109637905</v>
      </c>
    </row>
    <row r="36" spans="2:11" x14ac:dyDescent="0.35">
      <c r="B36" s="15" t="str">
        <f t="array" ref="B36:E40">Data!B30:E34</f>
        <v>TPP Revenue Per Passenger</v>
      </c>
      <c r="C36" s="35">
        <v>6.0107007727303898</v>
      </c>
      <c r="D36" s="35">
        <v>6.4916081178920644</v>
      </c>
      <c r="E36" s="35">
        <v>8.3689202439451211</v>
      </c>
      <c r="F36" s="21">
        <f>E$36*(1+Data!$H$30)</f>
        <v>9.9138193401260111</v>
      </c>
      <c r="G36" s="21">
        <f>F$36*(1+Data!$H$30)</f>
        <v>11.74390614843826</v>
      </c>
      <c r="H36" s="21">
        <f>G$36*(1+Data!$H$30)</f>
        <v>13.911826198516639</v>
      </c>
      <c r="I36" s="21">
        <f>H$36*(1+Data!$H$30)</f>
        <v>16.479943362240792</v>
      </c>
      <c r="J36" s="21">
        <f>I$36*(1+Data!$H$30)</f>
        <v>19.522133855555406</v>
      </c>
      <c r="K36" s="21">
        <f>J$36*(1+Data!$H$30)</f>
        <v>23.125911412258773</v>
      </c>
    </row>
    <row r="37" spans="2:11" x14ac:dyDescent="0.35">
      <c r="B37" s="15" t="str">
        <v>Resort Revenue Per Passenger</v>
      </c>
      <c r="C37" s="35">
        <v>0.12925277961942647</v>
      </c>
      <c r="D37" s="35">
        <v>0.24985244117309902</v>
      </c>
      <c r="E37" s="35">
        <v>4.2832657631505127</v>
      </c>
      <c r="F37" s="21">
        <f>E$37*(1+Data!$H$31)</f>
        <v>7.0673885091983459</v>
      </c>
      <c r="G37" s="21">
        <f>F$37*(1+Data!$H$31)</f>
        <v>11.66119104017727</v>
      </c>
      <c r="H37" s="21">
        <f>G$37*(1+Data!$H$31)</f>
        <v>19.240965216292494</v>
      </c>
      <c r="I37" s="21">
        <f>H$37*(1+Data!$H$31)</f>
        <v>31.747592606882613</v>
      </c>
      <c r="J37" s="21">
        <f>I$37*(1+Data!$H$31)</f>
        <v>52.383527801356308</v>
      </c>
      <c r="K37" s="21">
        <f>J$37*(1+Data!$H$31)</f>
        <v>86.432820872237897</v>
      </c>
    </row>
    <row r="38" spans="2:11" x14ac:dyDescent="0.35">
      <c r="B38" s="15" t="str">
        <v>Gallons of Fuel Consumed</v>
      </c>
      <c r="C38" s="23">
        <v>218606000</v>
      </c>
      <c r="D38" s="23">
        <v>224996000</v>
      </c>
      <c r="E38" s="23">
        <v>227345000</v>
      </c>
      <c r="F38" s="20">
        <f>E38*(1+Data!$H$32)</f>
        <v>231854485.41363385</v>
      </c>
      <c r="G38" s="20">
        <f>F38*(1+Data!$H$32)</f>
        <v>236453418.40120059</v>
      </c>
      <c r="H38" s="20">
        <f>G38*(1+Data!$H$32)</f>
        <v>241143573.19362652</v>
      </c>
      <c r="I38" s="20">
        <f>H38*(1+Data!$H$32)</f>
        <v>245926759.214468</v>
      </c>
      <c r="J38" s="20">
        <f>I38*(1+Data!$H$32)</f>
        <v>250804821.77797231</v>
      </c>
      <c r="K38" s="20">
        <f>J38*(1+Data!$H$32)</f>
        <v>255779642.80098492</v>
      </c>
    </row>
    <row r="39" spans="2:11" x14ac:dyDescent="0.35">
      <c r="B39" s="15" t="str">
        <v>Percentage Marketing</v>
      </c>
      <c r="C39" s="36">
        <v>4.3738262051611999E-2</v>
      </c>
      <c r="D39" s="36">
        <v>4.5666528676847631E-2</v>
      </c>
      <c r="E39" s="36">
        <v>4.2322878910955992E-2</v>
      </c>
      <c r="F39" s="37"/>
      <c r="G39" s="37"/>
      <c r="H39" s="37"/>
      <c r="I39" s="37"/>
      <c r="J39" s="37"/>
      <c r="K39" s="37"/>
    </row>
    <row r="40" spans="2:11" x14ac:dyDescent="0.35">
      <c r="B40" s="15" t="str">
        <v>Lease Rate</v>
      </c>
      <c r="C40" s="21">
        <v>49210.416666666664</v>
      </c>
      <c r="D40" s="21">
        <v>51975</v>
      </c>
      <c r="E40" s="21">
        <v>49110.416666666664</v>
      </c>
      <c r="F40" s="38"/>
      <c r="G40" s="38"/>
      <c r="H40" s="38"/>
      <c r="I40" s="38"/>
      <c r="J40" s="38"/>
      <c r="K40" s="38"/>
    </row>
    <row r="41" spans="2:11" x14ac:dyDescent="0.35">
      <c r="B41" s="47" t="s">
        <v>52</v>
      </c>
      <c r="C41" s="44"/>
      <c r="D41" s="44"/>
      <c r="E41" s="44"/>
      <c r="F41" s="44"/>
      <c r="G41" s="44"/>
      <c r="H41" s="44"/>
      <c r="I41" s="44"/>
      <c r="J41" s="44"/>
      <c r="K41" s="44"/>
    </row>
  </sheetData>
  <mergeCells count="3">
    <mergeCell ref="B41:K41"/>
    <mergeCell ref="B1:K1"/>
    <mergeCell ref="B2:K2"/>
  </mergeCells>
  <conditionalFormatting sqref="C25:K25">
    <cfRule type="cellIs" dxfId="0" priority="1" operator="lessThan">
      <formula>0</formula>
    </cfRule>
  </conditionalFormatting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72DB8-3942-48A3-B7B0-26C2FB1F4ACD}">
  <dimension ref="B2:D5"/>
  <sheetViews>
    <sheetView tabSelected="1" workbookViewId="0">
      <selection activeCell="D29" sqref="D29"/>
    </sheetView>
  </sheetViews>
  <sheetFormatPr defaultRowHeight="14.5" x14ac:dyDescent="0.35"/>
  <cols>
    <col min="2" max="2" width="36.08984375" customWidth="1"/>
    <col min="3" max="3" width="17.6328125" customWidth="1"/>
    <col min="4" max="4" width="17.26953125" customWidth="1"/>
  </cols>
  <sheetData>
    <row r="2" spans="2:4" x14ac:dyDescent="0.35">
      <c r="B2" t="s">
        <v>53</v>
      </c>
      <c r="C2">
        <f ca="1">_xlfn.XLOOKUP(D2,'Income Statement'!F25:K25,'Income Statement'!F5:K5)</f>
        <v>2025</v>
      </c>
      <c r="D2">
        <f ca="1">MAX('Income Statement'!$F$25:$K$25)</f>
        <v>1328076557.3100691</v>
      </c>
    </row>
    <row r="3" spans="2:4" x14ac:dyDescent="0.35">
      <c r="B3" t="s">
        <v>54</v>
      </c>
      <c r="C3">
        <f ca="1">_xlfn.XLOOKUP(D3,'Income Statement'!F25:K25, 'Income Statement'!F5:K5)</f>
        <v>2029</v>
      </c>
      <c r="D3">
        <f ca="1">MIN('Income Statement'!$F$25:$K$25)</f>
        <v>643389738.51512432</v>
      </c>
    </row>
    <row r="4" spans="2:4" x14ac:dyDescent="0.35">
      <c r="B4" t="s">
        <v>55</v>
      </c>
      <c r="C4">
        <f ca="1">_xlfn.XLOOKUP(D4,'Income Statement'!F22:K22,'Income Statement'!F5:K5)</f>
        <v>2029</v>
      </c>
      <c r="D4">
        <f ca="1">MAX('Income Statement'!F22:K22)</f>
        <v>310609288</v>
      </c>
    </row>
    <row r="5" spans="2:4" x14ac:dyDescent="0.35">
      <c r="B5" t="s">
        <v>56</v>
      </c>
      <c r="C5">
        <f ca="1">_xlfn.XLOOKUP(D5,'Income Statement'!F22:K22,'Income Statement'!F5:K5)</f>
        <v>2027</v>
      </c>
      <c r="D5">
        <f ca="1">MIN('Income Statement'!F22:K22)</f>
        <v>45062957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Income Statement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Whelan</dc:creator>
  <cp:lastModifiedBy>John Whelan</cp:lastModifiedBy>
  <cp:lastPrinted>2025-11-18T22:51:42Z</cp:lastPrinted>
  <dcterms:created xsi:type="dcterms:W3CDTF">2025-11-17T04:50:06Z</dcterms:created>
  <dcterms:modified xsi:type="dcterms:W3CDTF">2026-04-02T21:15:47Z</dcterms:modified>
</cp:coreProperties>
</file>