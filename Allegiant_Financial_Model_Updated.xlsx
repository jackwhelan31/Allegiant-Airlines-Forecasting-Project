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ackw\Downloads\"/>
    </mc:Choice>
  </mc:AlternateContent>
  <xr:revisionPtr revIDLastSave="0" documentId="13_ncr:1_{545438AF-5483-443B-87A4-EFD5AF5E6B57}" xr6:coauthVersionLast="47" xr6:coauthVersionMax="47" xr10:uidLastSave="{00000000-0000-0000-0000-000000000000}"/>
  <bookViews>
    <workbookView xWindow="-110" yWindow="-110" windowWidth="19420" windowHeight="10300" tabRatio="500" firstSheet="1" activeTab="5" xr2:uid="{00000000-000D-0000-FFFF-FFFF00000000}"/>
  </bookViews>
  <sheets>
    <sheet name="Assumptions &amp; Sources" sheetId="1" r:id="rId1"/>
    <sheet name="Dashboard" sheetId="2" r:id="rId2"/>
    <sheet name="Data" sheetId="3" r:id="rId3"/>
    <sheet name="Income Statement" sheetId="4" r:id="rId4"/>
    <sheet name="Insights" sheetId="5" r:id="rId5"/>
    <sheet name="Sensitivity"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46" i="4" l="1"/>
  <c r="J46" i="4"/>
  <c r="I46" i="4"/>
  <c r="H46" i="4"/>
  <c r="G46" i="4"/>
  <c r="F46" i="4"/>
  <c r="F43" i="4"/>
  <c r="G43" i="4" s="1"/>
  <c r="C35" i="4" a="1"/>
  <c r="C35" i="4" s="1"/>
  <c r="K30" i="4"/>
  <c r="J30" i="4"/>
  <c r="I30" i="4"/>
  <c r="H30" i="4"/>
  <c r="G30" i="4"/>
  <c r="F30" i="4"/>
  <c r="K28" i="4"/>
  <c r="J28" i="4"/>
  <c r="I28" i="4"/>
  <c r="H28" i="4"/>
  <c r="G28" i="4"/>
  <c r="F28" i="4"/>
  <c r="E21" i="4"/>
  <c r="D19" i="4"/>
  <c r="E18" i="4"/>
  <c r="D16" i="4"/>
  <c r="E14" i="4"/>
  <c r="B7" i="4" a="1"/>
  <c r="B7" i="4" s="1"/>
  <c r="F5" i="4"/>
  <c r="G5" i="4" s="1"/>
  <c r="C58" i="3"/>
  <c r="F29" i="4" s="1"/>
  <c r="G29" i="4" s="1"/>
  <c r="H29" i="4" s="1"/>
  <c r="I29" i="4" s="1"/>
  <c r="J29" i="4" s="1"/>
  <c r="K29" i="4" s="1"/>
  <c r="C53" i="3"/>
  <c r="C55" i="3" s="1"/>
  <c r="C52" i="3"/>
  <c r="C51" i="3"/>
  <c r="E34" i="3"/>
  <c r="E33" i="3"/>
  <c r="D33" i="3"/>
  <c r="H32" i="3"/>
  <c r="E31" i="3"/>
  <c r="E30" i="3"/>
  <c r="D30" i="3"/>
  <c r="H29" i="3"/>
  <c r="C54" i="3" s="1"/>
  <c r="F27" i="3"/>
  <c r="E27" i="3"/>
  <c r="E22" i="4" s="1"/>
  <c r="D27" i="3"/>
  <c r="D22" i="4" s="1"/>
  <c r="C27" i="3"/>
  <c r="C22" i="4" s="1"/>
  <c r="F26" i="3"/>
  <c r="E26" i="3"/>
  <c r="D26" i="3"/>
  <c r="D21" i="4" s="1"/>
  <c r="C26" i="3"/>
  <c r="H26" i="3" s="1"/>
  <c r="E25" i="3"/>
  <c r="E20" i="4" s="1"/>
  <c r="D25" i="3"/>
  <c r="D34" i="3" s="1"/>
  <c r="C25" i="3"/>
  <c r="F25" i="3" s="1"/>
  <c r="F34" i="3" s="1"/>
  <c r="F24" i="3"/>
  <c r="E24" i="3"/>
  <c r="E19" i="4" s="1"/>
  <c r="D24" i="3"/>
  <c r="C24" i="3"/>
  <c r="C19" i="4" s="1"/>
  <c r="E23" i="3"/>
  <c r="D23" i="3"/>
  <c r="D18" i="4" s="1"/>
  <c r="C23" i="3"/>
  <c r="C18" i="4" s="1"/>
  <c r="E22" i="3"/>
  <c r="E17" i="4" s="1"/>
  <c r="D22" i="3"/>
  <c r="D17" i="4" s="1"/>
  <c r="C22" i="3"/>
  <c r="C17" i="4" s="1"/>
  <c r="E21" i="3"/>
  <c r="E16" i="4" s="1"/>
  <c r="D21" i="3"/>
  <c r="C21" i="3"/>
  <c r="C16" i="4" s="1"/>
  <c r="F20" i="3"/>
  <c r="E20" i="3"/>
  <c r="E15" i="4" s="1"/>
  <c r="D20" i="3"/>
  <c r="D15" i="4" s="1"/>
  <c r="C20" i="3"/>
  <c r="C15" i="4" s="1"/>
  <c r="F19" i="3"/>
  <c r="E19" i="3"/>
  <c r="D19" i="3"/>
  <c r="D14" i="4" s="1"/>
  <c r="C19" i="3"/>
  <c r="H19" i="3" s="1"/>
  <c r="E15" i="3"/>
  <c r="D15" i="3"/>
  <c r="D31" i="3" s="1"/>
  <c r="C15" i="3"/>
  <c r="F15" i="3" s="1"/>
  <c r="H14" i="3"/>
  <c r="E14" i="3"/>
  <c r="D14" i="3"/>
  <c r="F14" i="3" s="1"/>
  <c r="C14" i="3"/>
  <c r="E13" i="3"/>
  <c r="D13" i="3"/>
  <c r="C13" i="3"/>
  <c r="F13" i="3" s="1"/>
  <c r="E12" i="3"/>
  <c r="D12" i="3"/>
  <c r="F12" i="3" s="1"/>
  <c r="C12" i="3"/>
  <c r="C7" i="4" s="1" a="1"/>
  <c r="F8" i="2"/>
  <c r="E8" i="2"/>
  <c r="D8" i="2"/>
  <c r="C8" i="2"/>
  <c r="B4" i="2"/>
  <c r="F44" i="4" l="1"/>
  <c r="G44" i="4"/>
  <c r="H43" i="4"/>
  <c r="E23" i="4"/>
  <c r="E6" i="6"/>
  <c r="D6" i="6"/>
  <c r="C6" i="6"/>
  <c r="B9" i="6"/>
  <c r="B10" i="6"/>
  <c r="B8" i="6"/>
  <c r="F21" i="4"/>
  <c r="G21" i="4" s="1"/>
  <c r="H21" i="4" s="1"/>
  <c r="I21" i="4" s="1"/>
  <c r="J21" i="4" s="1"/>
  <c r="K21" i="4" s="1"/>
  <c r="F33" i="3"/>
  <c r="H5" i="4"/>
  <c r="G8" i="2"/>
  <c r="J20" i="4"/>
  <c r="I20" i="4"/>
  <c r="H20" i="4"/>
  <c r="G20" i="4"/>
  <c r="F20" i="4"/>
  <c r="K20" i="4"/>
  <c r="D10" i="4"/>
  <c r="D12" i="2" s="1"/>
  <c r="E7" i="4"/>
  <c r="C10" i="4"/>
  <c r="C12" i="2" s="1"/>
  <c r="D7" i="4"/>
  <c r="E9" i="4"/>
  <c r="D9" i="4"/>
  <c r="D11" i="2" s="1"/>
  <c r="C7" i="4"/>
  <c r="C9" i="4"/>
  <c r="C11" i="2" s="1"/>
  <c r="E8" i="4"/>
  <c r="E10" i="2" s="1"/>
  <c r="D8" i="4"/>
  <c r="D10" i="2" s="1"/>
  <c r="E10" i="4"/>
  <c r="E12" i="2" s="1"/>
  <c r="C8" i="4"/>
  <c r="C10" i="2" s="1"/>
  <c r="C20" i="4"/>
  <c r="F22" i="3"/>
  <c r="B8" i="4"/>
  <c r="D20" i="4"/>
  <c r="D23" i="4" s="1"/>
  <c r="C21" i="4"/>
  <c r="D35" i="4"/>
  <c r="H22" i="3"/>
  <c r="F17" i="4" s="1"/>
  <c r="G17" i="4" s="1"/>
  <c r="H17" i="4" s="1"/>
  <c r="I17" i="4" s="1"/>
  <c r="J17" i="4" s="1"/>
  <c r="K17" i="4" s="1"/>
  <c r="C30" i="3"/>
  <c r="H30" i="3" s="1"/>
  <c r="C33" i="3"/>
  <c r="C38" i="3"/>
  <c r="B9" i="4"/>
  <c r="C14" i="4"/>
  <c r="C23" i="4" s="1"/>
  <c r="E35" i="4"/>
  <c r="B10" i="4"/>
  <c r="F21" i="3"/>
  <c r="H21" i="3"/>
  <c r="F16" i="4" s="1"/>
  <c r="G16" i="4" s="1"/>
  <c r="H16" i="4" s="1"/>
  <c r="I16" i="4" s="1"/>
  <c r="J16" i="4" s="1"/>
  <c r="K16" i="4" s="1"/>
  <c r="F14" i="4"/>
  <c r="F23" i="3"/>
  <c r="C31" i="3"/>
  <c r="C34" i="3"/>
  <c r="H23" i="3"/>
  <c r="F18" i="4" s="1"/>
  <c r="G18" i="4" s="1"/>
  <c r="H18" i="4" s="1"/>
  <c r="I18" i="4" s="1"/>
  <c r="J18" i="4" s="1"/>
  <c r="K18" i="4" s="1"/>
  <c r="H8" i="2" l="1"/>
  <c r="I5" i="4"/>
  <c r="C9" i="2"/>
  <c r="C11" i="4"/>
  <c r="C25" i="4" s="1"/>
  <c r="H22" i="4"/>
  <c r="G22" i="4"/>
  <c r="F22" i="4"/>
  <c r="K22" i="4"/>
  <c r="J22" i="4"/>
  <c r="I22" i="4"/>
  <c r="B36" i="4" a="1"/>
  <c r="D11" i="4"/>
  <c r="D25" i="4" s="1"/>
  <c r="D9" i="2"/>
  <c r="H44" i="4"/>
  <c r="I43" i="4"/>
  <c r="G14" i="4"/>
  <c r="F9" i="4"/>
  <c r="E11" i="2"/>
  <c r="E11" i="4"/>
  <c r="E25" i="4" s="1"/>
  <c r="E9" i="2"/>
  <c r="F35" i="4"/>
  <c r="J43" i="4" l="1"/>
  <c r="I44" i="4"/>
  <c r="E15" i="2"/>
  <c r="E13" i="2"/>
  <c r="E31" i="4"/>
  <c r="E33" i="4" s="1"/>
  <c r="D39" i="4"/>
  <c r="D37" i="4"/>
  <c r="C39" i="4"/>
  <c r="C37" i="4"/>
  <c r="B39" i="4"/>
  <c r="B37" i="4"/>
  <c r="E40" i="4"/>
  <c r="E38" i="4"/>
  <c r="F38" i="4" s="1"/>
  <c r="E36" i="4"/>
  <c r="F36" i="4" s="1"/>
  <c r="G36" i="4" s="1"/>
  <c r="H36" i="4" s="1"/>
  <c r="I36" i="4" s="1"/>
  <c r="J36" i="4" s="1"/>
  <c r="K36" i="4" s="1"/>
  <c r="D40" i="4"/>
  <c r="D38" i="4"/>
  <c r="D36" i="4"/>
  <c r="C40" i="4"/>
  <c r="C38" i="4"/>
  <c r="C36" i="4"/>
  <c r="B40" i="4"/>
  <c r="B38" i="4"/>
  <c r="E39" i="4"/>
  <c r="E37" i="4"/>
  <c r="F37" i="4" s="1"/>
  <c r="G37" i="4" s="1"/>
  <c r="H37" i="4" s="1"/>
  <c r="I37" i="4" s="1"/>
  <c r="J37" i="4" s="1"/>
  <c r="K37" i="4" s="1"/>
  <c r="B36" i="4"/>
  <c r="G9" i="4"/>
  <c r="F11" i="2"/>
  <c r="I8" i="2"/>
  <c r="J5" i="4"/>
  <c r="G35" i="4"/>
  <c r="F10" i="4"/>
  <c r="F12" i="2" s="1"/>
  <c r="F7" i="4"/>
  <c r="D15" i="2"/>
  <c r="D13" i="2"/>
  <c r="D31" i="4"/>
  <c r="D33" i="4" s="1"/>
  <c r="C31" i="4"/>
  <c r="C33" i="4" s="1"/>
  <c r="C15" i="2"/>
  <c r="C13" i="2"/>
  <c r="H14" i="4"/>
  <c r="K5" i="4" l="1"/>
  <c r="K8" i="2" s="1"/>
  <c r="J8" i="2"/>
  <c r="F15" i="4"/>
  <c r="G38" i="4"/>
  <c r="E14" i="2"/>
  <c r="E47" i="4"/>
  <c r="E16" i="2"/>
  <c r="H35" i="4"/>
  <c r="G10" i="4"/>
  <c r="G12" i="2" s="1"/>
  <c r="G7" i="4"/>
  <c r="G8" i="4"/>
  <c r="G10" i="2" s="1"/>
  <c r="C16" i="2"/>
  <c r="C14" i="2"/>
  <c r="C47" i="4"/>
  <c r="F8" i="4"/>
  <c r="F10" i="2" s="1"/>
  <c r="D16" i="2"/>
  <c r="D14" i="2"/>
  <c r="D47" i="4"/>
  <c r="H9" i="4"/>
  <c r="G11" i="2"/>
  <c r="I14" i="4"/>
  <c r="F9" i="2"/>
  <c r="K43" i="4"/>
  <c r="K44" i="4" s="1"/>
  <c r="C16" i="6" s="1"/>
  <c r="J44" i="4"/>
  <c r="I35" i="4" l="1"/>
  <c r="H10" i="4"/>
  <c r="H12" i="2" s="1"/>
  <c r="H7" i="4"/>
  <c r="H8" i="4"/>
  <c r="H10" i="2" s="1"/>
  <c r="F11" i="4"/>
  <c r="H11" i="2"/>
  <c r="I9" i="4"/>
  <c r="G15" i="4"/>
  <c r="H38" i="4"/>
  <c r="G11" i="4"/>
  <c r="G9" i="2"/>
  <c r="J14" i="4"/>
  <c r="F19" i="4" l="1"/>
  <c r="F23" i="4" s="1"/>
  <c r="F25" i="4" s="1"/>
  <c r="I11" i="2"/>
  <c r="J9" i="4"/>
  <c r="G19" i="4"/>
  <c r="G23" i="4" s="1"/>
  <c r="G25" i="4" s="1"/>
  <c r="H11" i="4"/>
  <c r="H9" i="2"/>
  <c r="K14" i="4"/>
  <c r="I38" i="4"/>
  <c r="H15" i="4"/>
  <c r="J35" i="4"/>
  <c r="I10" i="4"/>
  <c r="I12" i="2" s="1"/>
  <c r="I7" i="4"/>
  <c r="I8" i="4"/>
  <c r="I10" i="2" s="1"/>
  <c r="F13" i="2" l="1"/>
  <c r="F31" i="4"/>
  <c r="F15" i="2"/>
  <c r="K35" i="4"/>
  <c r="J10" i="4"/>
  <c r="J12" i="2" s="1"/>
  <c r="J7" i="4"/>
  <c r="J8" i="4"/>
  <c r="J10" i="2" s="1"/>
  <c r="I11" i="4"/>
  <c r="I9" i="2"/>
  <c r="H19" i="4"/>
  <c r="H23" i="4" s="1"/>
  <c r="H25" i="4" s="1"/>
  <c r="K9" i="4"/>
  <c r="K11" i="2" s="1"/>
  <c r="J11" i="2"/>
  <c r="G13" i="2"/>
  <c r="G31" i="4"/>
  <c r="G15" i="2"/>
  <c r="J38" i="4"/>
  <c r="I15" i="4"/>
  <c r="H31" i="4" l="1"/>
  <c r="H15" i="2"/>
  <c r="H13" i="2"/>
  <c r="G32" i="4"/>
  <c r="G33" i="4" s="1"/>
  <c r="J9" i="2"/>
  <c r="J11" i="4"/>
  <c r="K7" i="4"/>
  <c r="K8" i="4"/>
  <c r="K10" i="2" s="1"/>
  <c r="K10" i="4"/>
  <c r="K12" i="2" s="1"/>
  <c r="F32" i="4"/>
  <c r="F33" i="4" s="1"/>
  <c r="K38" i="4"/>
  <c r="J15" i="4"/>
  <c r="I19" i="4"/>
  <c r="I23" i="4" s="1"/>
  <c r="I25" i="4" s="1"/>
  <c r="I15" i="2" l="1"/>
  <c r="I31" i="4"/>
  <c r="I13" i="2"/>
  <c r="G47" i="4"/>
  <c r="G16" i="2"/>
  <c r="G14" i="2"/>
  <c r="F14" i="2"/>
  <c r="F47" i="4"/>
  <c r="F16" i="2"/>
  <c r="K9" i="2"/>
  <c r="K11" i="4"/>
  <c r="C17" i="6"/>
  <c r="K15" i="4"/>
  <c r="J19" i="4"/>
  <c r="J23" i="4" s="1"/>
  <c r="J25" i="4" s="1"/>
  <c r="H32" i="4"/>
  <c r="H33" i="4" s="1"/>
  <c r="H47" i="4" l="1"/>
  <c r="H16" i="2"/>
  <c r="H14" i="2"/>
  <c r="J31" i="4"/>
  <c r="J15" i="2"/>
  <c r="J13" i="2"/>
  <c r="D5" i="5"/>
  <c r="J4" i="2" s="1"/>
  <c r="K19" i="4"/>
  <c r="K23" i="4" s="1"/>
  <c r="C15" i="6" s="1"/>
  <c r="C14" i="6"/>
  <c r="D4" i="2"/>
  <c r="I32" i="4"/>
  <c r="I33" i="4" s="1"/>
  <c r="J32" i="4" l="1"/>
  <c r="J33" i="4" s="1"/>
  <c r="D9" i="6"/>
  <c r="D10" i="6"/>
  <c r="C10" i="6"/>
  <c r="E8" i="6"/>
  <c r="C9" i="6"/>
  <c r="D8" i="6"/>
  <c r="E9" i="6"/>
  <c r="E10" i="6"/>
  <c r="C8" i="6"/>
  <c r="I47" i="4"/>
  <c r="I16" i="2"/>
  <c r="I14" i="2"/>
  <c r="K25" i="4"/>
  <c r="J16" i="2" l="1"/>
  <c r="J14" i="2"/>
  <c r="J47" i="4"/>
  <c r="D6" i="5"/>
  <c r="F4" i="2" s="1"/>
  <c r="K31" i="4"/>
  <c r="K15" i="2"/>
  <c r="K13" i="2"/>
  <c r="D3" i="5"/>
  <c r="C3" i="5" s="1"/>
  <c r="D4" i="5"/>
  <c r="C4" i="5" s="1"/>
  <c r="K32" i="4" l="1"/>
  <c r="K33" i="4" s="1"/>
  <c r="K16" i="2" l="1"/>
  <c r="K14" i="2"/>
  <c r="K47" i="4"/>
  <c r="D7" i="5"/>
  <c r="H4" i="2" s="1"/>
  <c r="D9" i="5"/>
  <c r="C9" i="5" s="1"/>
  <c r="D8" i="5"/>
  <c r="C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0200-000001000000}">
      <text>
        <r>
          <rPr>
            <sz val="10"/>
            <rFont val="Arial"/>
            <family val="2"/>
          </rPr>
          <t>Flagged during this update: this $220 Fare assumption is well above the actual historical implied fare (Passenger Revenue / Passengers), which was ~$127 (2022), ~$134 (2023), and ~$131 (2024). Using $220 as the 2025+ forecast base creates a ~70% one-year jump in Passenger Revenue from 2024 actual to 2025 forecast, and is now the single biggest driver of the model's forecast profit. This assumption predates this round of fixes and was left as-is (it's your input to own), but it's worth deciding deliberately whether $220 reflects a specific fare-hike thesis or should instead track the historical trend - the Inflation assumption now escalates whatever base you put here, so getting the base right matters more than before.</t>
        </r>
      </text>
    </comment>
    <comment ref="H31" authorId="0" shapeId="0" xr:uid="{00000000-0006-0000-0200-000006000000}">
      <text>
        <r>
          <rPr>
            <sz val="10"/>
            <rFont val="Arial"/>
            <family val="2"/>
          </rPr>
          <t>Superseded by the Resort &amp; Other Revenue Ramp-Down Growth Schedule below (row 42). Kept here for reference on how the original flat 65% rate was derived, but no longer feeds the forecast.</t>
        </r>
      </text>
    </comment>
    <comment ref="C38" authorId="0" shapeId="0" xr:uid="{00000000-0006-0000-0200-000002000000}">
      <text>
        <r>
          <rPr>
            <sz val="10"/>
            <rFont val="Arial"/>
            <family val="2"/>
          </rPr>
          <t>Replaces RANDBETWEEN(). The 2024 special charge ($368.1M) was driven by one-time items per Allegiant's Q4 2024 results: aircraft accelerated depreciation from the revised fleet plan, a flight-attendant CBA ratification bonus, and an administrative restructuring (source: Allegiant Travel Company Q4/FY2024 Financial Results, PR Newswire, Feb 4, 2025). Excluding that outlier, the forecast holds Special Charges flat at the 2022-2023 average as a normalized run-rate. Treat this as a judgment call, not a mechanical trend extrapolation.</t>
        </r>
      </text>
    </comment>
    <comment ref="F42" authorId="0" shapeId="0" xr:uid="{00000000-0006-0000-0200-000005000000}">
      <text>
        <r>
          <rPr>
            <sz val="10"/>
            <rFont val="Arial"/>
            <family val="2"/>
          </rPr>
          <t>Resort and Other revenue jumped from $4.3M (2023) to $72.7M (2024) with the ramp-up of the Sunseeker Resort. A flat compounding growth rate calculated off that jump (the model's original approach) would carry the launch-year growth rate forever, reaching ~$1.5B by 2030 - larger than Third Party Products and approaching Passenger revenue, which is not credible for an ancillary resort business. This schedule instead models a new-property ramp: high near-term growth as the resort fills capacity, decelerating to a mid-single-digit/low-double-digit steady-state growth rate by 2030, roughly in line with the model's other mature ancillary revenue trends. This is an analyst judgment call - revisit if you get more information on Sunseeker's actual ramp curve or capacity.</t>
        </r>
      </text>
    </comment>
    <comment ref="C47" authorId="0" shapeId="0" xr:uid="{00000000-0006-0000-0200-000003000000}">
      <text>
        <r>
          <rPr>
            <sz val="10"/>
            <rFont val="Arial"/>
            <family val="2"/>
          </rPr>
          <t>Illustrative scenario adjustments (analyst judgment, not derived from a specific source): Upside/Downside shift passenger growth +/-2 percentage points, fare +/-5%, and fuel cost -10%/+15% relative to the Base Case. Adjust these to whatever ranges you want to defend in an interview.</t>
        </r>
      </text>
    </comment>
    <comment ref="C57" authorId="0" shapeId="0" xr:uid="{00000000-0006-0000-0200-000004000000}">
      <text>
        <r>
          <rPr>
            <sz val="10"/>
            <rFont val="Arial"/>
            <family val="2"/>
          </rPr>
          <t>Actual effective tax rates were noisy: 49.7% (2022, near-breakeven pretax income distorts the ratio), 26.1% (2023), 22.1% (2024, a loss year with a tax benefit). Rather than extrapolate that noise, the forecast uses a normalized ~24% rate, close to the 2023 profitable-year actual and to a blended US federal (21%) + state effective rate. Source for historical rates: Allegiant Travel Co. income statement data via stockanalysis.com (SEC 10-K based).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0" authorId="0" shapeId="0" xr:uid="{00000000-0006-0000-0300-000004000000}">
      <text>
        <r>
          <rPr>
            <sz val="10"/>
            <rFont val="Arial"/>
            <family val="2"/>
          </rPr>
          <t>Previously a flat average of the three historical years, which ignored the 'Number of Aircraft Leased' driver entirely. Now computed as Aircraft Count x Average Monthly Lease Rate x 12, so the forecast actually responds if you change Data!C5 (fleet size). Fleet count and lease rate are both held constant across the forecast (single-point Data-sheet assumptions) - extend this to a year-by-year fleet growth schedule if you want lease expense to ramp with growth.</t>
        </r>
      </text>
    </comment>
    <comment ref="C28" authorId="0" shapeId="0" xr:uid="{00000000-0006-0000-0300-000001000000}">
      <text>
        <r>
          <rPr>
            <sz val="10"/>
            <rFont val="Arial"/>
            <family val="2"/>
          </rPr>
          <t>Historical actuals sourced from Allegiant Travel Co. financial results via stockanalysis.com (SEC 10-K based). Held flat at the FY2024 level for the forecast: interest income here is driven by cash balances and short-term rates, which swung from near-zero in 2022 to much higher in 2023-2024 - extrapolating that historical growth rate would produce an unrealistic trend, so it's treated as a level assumption pending a full cash/debt schedule.</t>
        </r>
      </text>
    </comment>
    <comment ref="C32" authorId="0" shapeId="0" xr:uid="{00000000-0006-0000-0300-000002000000}">
      <text>
        <r>
          <rPr>
            <sz val="10"/>
            <rFont val="Arial"/>
            <family val="2"/>
          </rPr>
          <t>Historical actuals sourced from Allegiant Travel Co. financial results via stockanalysis.com (SEC 10-K based). Forecast years apply the normalized 24% effective tax rate from the Data tab to Pretax Income each year (simplification - real tax provisions reflect items like valuation allowances that a flat rate won't capture, especially in a loss year).</t>
        </r>
      </text>
    </comment>
    <comment ref="F43" authorId="0" shapeId="0" xr:uid="{00000000-0006-0000-0300-000005000000}">
      <text>
        <r>
          <rPr>
            <sz val="10"/>
            <rFont val="Arial"/>
            <family val="2"/>
          </rPr>
          <t>Fare was previously held flat at $220 for every forecast year even though the model has a 3% Inflation assumption on the Data tab - that input was never actually used anywhere. This row escalates the base fare by inflation each year; the row below applies the scenario adjustment on top.</t>
        </r>
      </text>
    </comment>
    <comment ref="C46" authorId="0" shapeId="0" xr:uid="{00000000-0006-0000-0300-000003000000}">
      <text>
        <r>
          <rPr>
            <sz val="10"/>
            <rFont val="Arial"/>
            <family val="2"/>
          </rPr>
          <t>Diluted weighted-average shares implied by reported Net Income / Diluted EPS for each year (source: Allegiant Travel Co. financial results via stockanalysis.com, SEC 10-K based). Forecast years hold the 2024 share count flat - no buyback or issuance assumption.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500-000001000000}">
      <text>
        <r>
          <rPr>
            <sz val="10"/>
            <rFont val="Arial"/>
            <family val="2"/>
          </rPr>
          <t>Center cell = current Data-tab assumptions exactly, so this should match Income Statement!K25 (2030 Operating Profit) for the currently selected scenario.</t>
        </r>
      </text>
    </comment>
  </commentList>
</comments>
</file>

<file path=xl/sharedStrings.xml><?xml version="1.0" encoding="utf-8"?>
<sst xmlns="http://schemas.openxmlformats.org/spreadsheetml/2006/main" count="210" uniqueCount="180">
  <si>
    <t>Allegiant Financial Model — Assumptions &amp; Sources</t>
  </si>
  <si>
    <t>How to Use This Model</t>
  </si>
  <si>
    <t>• Go to the Data tab and pick Base, Upside, or Downside from the dropdown at C45 (Scenario Analysis section). Every forecast formula that depends on Fare, Passenger Growth, or Fuel Cost updates automatically.</t>
  </si>
  <si>
    <t>• The Sensitivity tab shows how 2030 Operating Profit moves across a range of fuel cost and passenger growth combinations, independent of which scenario is selected.</t>
  </si>
  <si>
    <t>• Blue text = hardcoded input you can change. Green text = a direct link to another sheet. Black text = a calculated formula - don't overwrite these or you'll break the chain.</t>
  </si>
  <si>
    <t>• Cell comments (small red triangles) explain every judgment call below in more detail - hover over the cell to read them.</t>
  </si>
  <si>
    <t>Driver / Line Item</t>
  </si>
  <si>
    <t>Value / Method</t>
  </si>
  <si>
    <t>Source or Rationale</t>
  </si>
  <si>
    <t>Type</t>
  </si>
  <si>
    <t>Historical Passenger, Third Party Products, Fixed Fee, Salaries, Fuel, Station Ops, D&amp;A, Maintenance, Marketing, Lease Rentals, Other (2022-2024)</t>
  </si>
  <si>
    <t>As provided in original model</t>
  </si>
  <si>
    <t>Matches Allegiant Travel Co. FY2022-2024 reported figures (spot-checked Total Operating Revenue and Operating Income against stockanalysis.com / SEC 10-K data - both tie out).</t>
  </si>
  <si>
    <t>Hardcoded</t>
  </si>
  <si>
    <t>Fare (Data!C2)</t>
  </si>
  <si>
    <t>$220 flat, now escalated by Inflation each forecast year</t>
  </si>
  <si>
    <t>Original model assumption. Flagged: well above the historical implied fare of ~$127-135/passenger - see comment on Data!C2. This is the single biggest driver of forecast profit growth; worth a deliberate decision, not a default.</t>
  </si>
  <si>
    <t>Hardcoded (flagged)</t>
  </si>
  <si>
    <t>Inflation (Data!C3)</t>
  </si>
  <si>
    <t>3.0%</t>
  </si>
  <si>
    <t>Original model assumption. Previously unused anywhere in the model; now feeds the Fare escalation.</t>
  </si>
  <si>
    <t>Fuel Cost per Gallon (Data!C4)</t>
  </si>
  <si>
    <t>$2.30 base, scenario-adjusted</t>
  </si>
  <si>
    <t>Original model assumption.</t>
  </si>
  <si>
    <t>Number of Aircraft Leased (Data!C5)</t>
  </si>
  <si>
    <t>40</t>
  </si>
  <si>
    <t>Original model assumption. Now actually drives the Aircraft Lease Rentals forecast (previously unused).</t>
  </si>
  <si>
    <t>Special Charges (forecast)</t>
  </si>
  <si>
    <t>$31.6M/yr flat (avg. of 2022 &amp; 2023)</t>
  </si>
  <si>
    <t>2024's $368.1M was one-time: accelerated depreciation from the fleet plan revision, a flight attendant CBA ratification bonus, and admin restructuring (Allegiant Q4 2024 Financial Results, PR Newswire, Feb 4, 2025). Previously modeled with RANDBETWEEN(), which made results non-reproducible.</t>
  </si>
  <si>
    <t>Judgment call</t>
  </si>
  <si>
    <t>Resort &amp; Other Revenue growth</t>
  </si>
  <si>
    <t>Ramp-down: 65% (2025) declining to 8% (2030)</t>
  </si>
  <si>
    <t>2024 actual jumped 16x on the Sunseeker Resort opening; naive compounding of that growth rate reached $1.5B by 2030 (bigger than Third Party Products). This ramp models a new-property curve maturing to a steady-state rate instead.</t>
  </si>
  <si>
    <t>Aircraft Lease Rentals (forecast)</t>
  </si>
  <si>
    <t>Aircraft Count × Avg. Lease Rate × 12</t>
  </si>
  <si>
    <t>Previously a flat 3-year historical average that ignored the aircraft count driver entirely. Now responds if you change Data!C5.</t>
  </si>
  <si>
    <t>Formula fix</t>
  </si>
  <si>
    <t>Interest Income / Expense / Other Non-Op (2022-2024)</t>
  </si>
  <si>
    <t>Historical actuals added</t>
  </si>
  <si>
    <t>Allegiant Travel Co. income statement, via stockanalysis.com (SEC 10-K based).</t>
  </si>
  <si>
    <t>Hardcoded, sourced</t>
  </si>
  <si>
    <t>Interest Expense growth (forecast)</t>
  </si>
  <si>
    <t>~3.8%/yr (avg. 2022-2024 YoY)</t>
  </si>
  <si>
    <t>Consistent with the model's existing average-trend-rate methodology used elsewhere.</t>
  </si>
  <si>
    <t>Formula</t>
  </si>
  <si>
    <t>Interest Income (forecast)</t>
  </si>
  <si>
    <t>Held flat at FY2024 level</t>
  </si>
  <si>
    <t>Historical growth (2022→2023→2024) reflects the rate environment, not a business trend - extrapolating it would be misleading. Held flat pending a full cash/debt schedule.</t>
  </si>
  <si>
    <t>Effective Tax Rate (forecast)</t>
  </si>
  <si>
    <t>24% (Data!C57)</t>
  </si>
  <si>
    <t>Actual rates were noisy (49.7% in 2022 near-breakeven, 26.1% in 2023, 22.1% tax benefit in the 2024 loss year). 24% approximates the 2023 profitable-year rate and a blended US federal+state rate.</t>
  </si>
  <si>
    <t>Diluted Shares Outstanding</t>
  </si>
  <si>
    <t>~17.8M-18.7M historical; held flat at 2024 level for forecast</t>
  </si>
  <si>
    <t>Implied from reported Net Income ÷ Diluted EPS (stockanalysis.com, SEC 10-K based). No buyback/issuance assumed.</t>
  </si>
  <si>
    <t>Scenario adjustments (Upside/Downside)</t>
  </si>
  <si>
    <t>Passenger growth ±2pp, Fare ±5%, Fuel Cost -10%/+15%</t>
  </si>
  <si>
    <t>Illustrative ranges - analyst judgment, not derived from a specific source. Adjust on the Data tab to whatever you want to defend.</t>
  </si>
  <si>
    <t>Allegiant Financial Model — Dashboard</t>
  </si>
  <si>
    <t>Selected Scenario</t>
  </si>
  <si>
    <t>2030 Total Revenue</t>
  </si>
  <si>
    <t>2030 Operating Margin</t>
  </si>
  <si>
    <t>2030 Net Margin</t>
  </si>
  <si>
    <t>Revenue CAGR ’24-’30</t>
  </si>
  <si>
    <t>Chart Data (source — do not need to edit)</t>
  </si>
  <si>
    <t>Year</t>
  </si>
  <si>
    <t>Passenger Revenue</t>
  </si>
  <si>
    <t>Third Party Products</t>
  </si>
  <si>
    <t>Fixed Fee Contracts</t>
  </si>
  <si>
    <t>Resort and Other</t>
  </si>
  <si>
    <t>Operating Profit</t>
  </si>
  <si>
    <t>Net Income</t>
  </si>
  <si>
    <t>Operating Margin %</t>
  </si>
  <si>
    <t>Net Margin %</t>
  </si>
  <si>
    <t>Model Drivers &amp; Historical Inputs</t>
  </si>
  <si>
    <t>Fare</t>
  </si>
  <si>
    <t>Inflation</t>
  </si>
  <si>
    <t>Fuel Cost Per Gallon</t>
  </si>
  <si>
    <t>Number of Aircraft Leased</t>
  </si>
  <si>
    <t>Column1</t>
  </si>
  <si>
    <t>2022</t>
  </si>
  <si>
    <t>2023</t>
  </si>
  <si>
    <t>2024</t>
  </si>
  <si>
    <t>Averages</t>
  </si>
  <si>
    <t>Avg Rates</t>
  </si>
  <si>
    <t>Operating Revenues</t>
  </si>
  <si>
    <t>Passenger</t>
  </si>
  <si>
    <t>Fixed Fee Growth Rate</t>
  </si>
  <si>
    <t>Operating Expenses</t>
  </si>
  <si>
    <t>Salaries and Benefits</t>
  </si>
  <si>
    <t>Wage Inflation</t>
  </si>
  <si>
    <t>Aircraft Fuel</t>
  </si>
  <si>
    <t>Station Operations</t>
  </si>
  <si>
    <t>Stations Ops Rate</t>
  </si>
  <si>
    <t>Depreciation and amoritzation</t>
  </si>
  <si>
    <t>Depreciation Rate</t>
  </si>
  <si>
    <t>Maintenance and Repairs</t>
  </si>
  <si>
    <t>Maintenance Inflation</t>
  </si>
  <si>
    <t xml:space="preserve">Sales and Marketing </t>
  </si>
  <si>
    <t>Aircraft Lease Rentals</t>
  </si>
  <si>
    <t>Other</t>
  </si>
  <si>
    <t>Growth Rate</t>
  </si>
  <si>
    <t>Special charges, nets of recoveries</t>
  </si>
  <si>
    <t>Number of Passengers</t>
  </si>
  <si>
    <t>Avg Passenger Growth</t>
  </si>
  <si>
    <t>TPP Revenue Per Passenger</t>
  </si>
  <si>
    <t>Avg TPP Growth</t>
  </si>
  <si>
    <t>Resort Revenue Per Passenger</t>
  </si>
  <si>
    <t>Resort Revenue Manual Rate</t>
  </si>
  <si>
    <t>Gallons of Fuel Consumed</t>
  </si>
  <si>
    <t>Fuel Consumption</t>
  </si>
  <si>
    <t>Percentage Marketing</t>
  </si>
  <si>
    <t>Lease Rate</t>
  </si>
  <si>
    <t>Special Charges — Normalized Forecast Assumption</t>
  </si>
  <si>
    <t>Normalized Special Charges (excludes 2024 one-time items)</t>
  </si>
  <si>
    <t>Resort &amp; Other Revenue — Ramp-Down Growth Schedule (Judgment Override)</t>
  </si>
  <si>
    <t>2025</t>
  </si>
  <si>
    <t>2026</t>
  </si>
  <si>
    <t>2027</t>
  </si>
  <si>
    <t>2028</t>
  </si>
  <si>
    <t>2029</t>
  </si>
  <si>
    <t>2030</t>
  </si>
  <si>
    <t>Resort Revenue Growth Rate (YoY)</t>
  </si>
  <si>
    <t>Scenario Analysis</t>
  </si>
  <si>
    <t>Selected Scenario:</t>
  </si>
  <si>
    <t>Base</t>
  </si>
  <si>
    <t>Scenario</t>
  </si>
  <si>
    <t>Passenger Growth Adj (pp)</t>
  </si>
  <si>
    <t>Fare Adj (%)</t>
  </si>
  <si>
    <t>Fuel Cost Adj (%)</t>
  </si>
  <si>
    <t>Upside</t>
  </si>
  <si>
    <t>Downside</t>
  </si>
  <si>
    <t>Active Passenger Growth Adj</t>
  </si>
  <si>
    <t>Active Fare Adj</t>
  </si>
  <si>
    <t>Active Fuel Cost Adj</t>
  </si>
  <si>
    <t>Effective Passenger Growth Rate</t>
  </si>
  <si>
    <t>Effective Fuel Cost per Gallon</t>
  </si>
  <si>
    <t>Normalized Effective Tax Rate (Forecast)</t>
  </si>
  <si>
    <t>Interest Expense Growth Rate (from Income Statement actuals)</t>
  </si>
  <si>
    <t>Allegiant Base Case Income Statement Forecast</t>
  </si>
  <si>
    <t>2022–2024 Actuals | 2025–2030 Forecast</t>
  </si>
  <si>
    <t>Actuals</t>
  </si>
  <si>
    <t>Forecast</t>
  </si>
  <si>
    <t>Total Operating Revenues</t>
  </si>
  <si>
    <t>Total Operating Expenses</t>
  </si>
  <si>
    <t>Non-Operating Items</t>
  </si>
  <si>
    <t>Interest Income</t>
  </si>
  <si>
    <t>Interest Expense</t>
  </si>
  <si>
    <t>Other Non-Operating Income (Expense)</t>
  </si>
  <si>
    <t>Pretax Income (Loss)</t>
  </si>
  <si>
    <t>Income Tax Provision (Benefit)</t>
  </si>
  <si>
    <t>Net Income (Loss)</t>
  </si>
  <si>
    <t>Forecast Inputs</t>
  </si>
  <si>
    <t>Note: Special Charges are now held flat at the 2022-2023 average (see Data tab), excluding the 2024 one-time items. Resort and Other revenue now follows a ramp-down growth schedule instead of flat compounding (see Data tab).</t>
  </si>
  <si>
    <t>Fare — Inflation-Escalated Base</t>
  </si>
  <si>
    <t>Fare — Scenario-Adjusted (used in Passenger Revenue)</t>
  </si>
  <si>
    <t>Shares Outstanding — Diluted (millions)</t>
  </si>
  <si>
    <t>Diluted EPS</t>
  </si>
  <si>
    <t>Key Insights — Allegiant Base/Scenario Forecast</t>
  </si>
  <si>
    <t>Value</t>
  </si>
  <si>
    <t>Most Profitable Year — Operating Profit (Forecast)</t>
  </si>
  <si>
    <t>Least Profitable Year — Operating Profit (Forecast)</t>
  </si>
  <si>
    <t>Total Revenue CAGR, 2024–2030 (Forecast)</t>
  </si>
  <si>
    <t>—</t>
  </si>
  <si>
    <t>Operating Margin, 2030 (Forecast)</t>
  </si>
  <si>
    <t>Net Margin, 2030 (Forecast)</t>
  </si>
  <si>
    <t>Most Profitable Year — Net Income (Forecast)</t>
  </si>
  <si>
    <t>Least Profitable Year — Net Income (Forecast)</t>
  </si>
  <si>
    <t>Note: figures reflect the currently selected scenario on the Data tab (Base/Upside/Downside).</t>
  </si>
  <si>
    <t>2030 Operating Profit Sensitivity</t>
  </si>
  <si>
    <t>Fuel Cost per Gallon vs. Passenger Growth Rate</t>
  </si>
  <si>
    <t>Shows how 2030 Operating Profit moves if fuel cost and passenger growth land above or below the assumption currently active on the Data tab. Other revenue and expense lines are held at their 2030 values for the scenario currently selected on the Data tab (Base/Upside/Downside) - this grid isolates the two variables analysts ask about most.</t>
  </si>
  <si>
    <t>Passenger Growth Rate →</t>
  </si>
  <si>
    <t>↓ Fuel Cost / Gallon</t>
  </si>
  <si>
    <t>Helper values (2030, current scenario)</t>
  </si>
  <si>
    <t>Other Revenue, ex. Passenger</t>
  </si>
  <si>
    <t>Other Opex, ex. Fuel</t>
  </si>
  <si>
    <t>Fare per Passenger, 2030 (current scenario)</t>
  </si>
  <si>
    <t>Fuel Gallons Consumed, 2030 (base)</t>
  </si>
  <si>
    <t>This tab documents every driver, judgment call, and data source used in the forecast, and how to use the scenario toggle.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</si>
</sst>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M"/>
    <numFmt numFmtId="165" formatCode="0.0%"/>
    <numFmt numFmtId="166" formatCode="\$#,##0"/>
    <numFmt numFmtId="167" formatCode="_(\$* #,##0.00_);_(\$* \(#,##0.00\);_(\$* \-??_);_(@_)"/>
    <numFmt numFmtId="168" formatCode="\$#,##0.00"/>
    <numFmt numFmtId="169" formatCode="_(* #,##0.00_);_(* \(#,##0.00\);_(* \-??_);_(@_)"/>
    <numFmt numFmtId="170" formatCode="_(\$* #,##0_);_(\$* \(#,##0\);_(\$* \-??_);_(@_)"/>
  </numFmts>
  <fonts count="27" x14ac:knownFonts="1">
    <font>
      <sz val="11"/>
      <color theme="1"/>
      <name val="Aptos Narrow"/>
      <family val="2"/>
      <charset val="1"/>
    </font>
    <font>
      <b/>
      <sz val="16"/>
      <color rgb="FFFFFFFF"/>
      <name val="Aptos Narrow"/>
      <charset val="1"/>
    </font>
    <font>
      <i/>
      <sz val="10"/>
      <name val="Aptos Narrow"/>
      <charset val="1"/>
    </font>
    <font>
      <b/>
      <sz val="11"/>
      <color rgb="FFFFFFFF"/>
      <name val="Aptos Narrow"/>
      <charset val="1"/>
    </font>
    <font>
      <sz val="10"/>
      <color rgb="FF000000"/>
      <name val="Aptos Narrow"/>
      <charset val="1"/>
    </font>
    <font>
      <sz val="10"/>
      <color rgb="FF595959"/>
      <name val="Aptos Narrow"/>
      <charset val="1"/>
    </font>
    <font>
      <b/>
      <sz val="18"/>
      <color rgb="FF1F4E78"/>
      <name val="Aptos Narrow"/>
      <charset val="1"/>
    </font>
    <font>
      <i/>
      <sz val="9"/>
      <color rgb="FF808080"/>
      <name val="Aptos Narrow"/>
      <charset val="1"/>
    </font>
    <font>
      <b/>
      <sz val="11"/>
      <name val="Aptos Narrow"/>
      <charset val="1"/>
    </font>
    <font>
      <sz val="10"/>
      <color rgb="FF008000"/>
      <name val="Aptos Narrow"/>
      <charset val="1"/>
    </font>
    <font>
      <b/>
      <sz val="14"/>
      <color rgb="FFFFFFFF"/>
      <name val="Aptos Narrow"/>
      <charset val="1"/>
    </font>
    <font>
      <b/>
      <sz val="11"/>
      <name val="Aptos Narrow"/>
      <family val="2"/>
      <charset val="1"/>
    </font>
    <font>
      <sz val="11"/>
      <color rgb="FF0000FF"/>
      <name val="Aptos Narrow"/>
      <charset val="1"/>
    </font>
    <font>
      <b/>
      <sz val="15"/>
      <color theme="3"/>
      <name val="Aptos Narrow"/>
      <family val="2"/>
      <charset val="1"/>
    </font>
    <font>
      <sz val="11"/>
      <color rgb="FF000000"/>
      <name val="Aptos Narrow"/>
      <charset val="1"/>
    </font>
    <font>
      <b/>
      <sz val="11"/>
      <color rgb="FF0000FF"/>
      <name val="Aptos Narrow"/>
      <charset val="1"/>
    </font>
    <font>
      <sz val="11"/>
      <color rgb="FF008000"/>
      <name val="Aptos Narrow"/>
      <charset val="1"/>
    </font>
    <font>
      <sz val="10"/>
      <name val="Arial"/>
      <family val="2"/>
    </font>
    <font>
      <i/>
      <sz val="11"/>
      <color rgb="FF404040"/>
      <name val="Aptos Narrow"/>
      <charset val="1"/>
    </font>
    <font>
      <sz val="11"/>
      <color theme="0"/>
      <name val="Aptos Narrow"/>
      <family val="2"/>
      <charset val="1"/>
    </font>
    <font>
      <b/>
      <sz val="11"/>
      <color theme="3"/>
      <name val="Aptos Narrow"/>
      <family val="2"/>
      <charset val="1"/>
    </font>
    <font>
      <b/>
      <sz val="11"/>
      <color rgb="FF3F3F3F"/>
      <name val="Aptos Narrow"/>
      <family val="2"/>
      <charset val="1"/>
    </font>
    <font>
      <b/>
      <sz val="13"/>
      <color theme="3"/>
      <name val="Aptos Narrow"/>
      <family val="2"/>
      <charset val="1"/>
    </font>
    <font>
      <i/>
      <sz val="11"/>
      <color rgb="FF7F6000"/>
      <name val="Aptos Narrow"/>
      <family val="2"/>
      <charset val="1"/>
    </font>
    <font>
      <i/>
      <sz val="9"/>
      <name val="Aptos Narrow"/>
      <charset val="1"/>
    </font>
    <font>
      <i/>
      <sz val="11"/>
      <name val="Aptos Narrow"/>
      <charset val="1"/>
    </font>
    <font>
      <sz val="11"/>
      <color theme="1"/>
      <name val="Aptos Narrow"/>
      <family val="2"/>
      <charset val="1"/>
    </font>
  </fonts>
  <fills count="13">
    <fill>
      <patternFill patternType="none"/>
    </fill>
    <fill>
      <patternFill patternType="gray125"/>
    </fill>
    <fill>
      <patternFill patternType="solid">
        <fgColor theme="4"/>
        <bgColor rgb="FF1F4E78"/>
      </patternFill>
    </fill>
    <fill>
      <patternFill patternType="solid">
        <fgColor theme="5" tint="0.79989013336588644"/>
        <bgColor rgb="FFFFF2CC"/>
      </patternFill>
    </fill>
    <fill>
      <patternFill patternType="solid">
        <fgColor theme="4" tint="0.79989013336588644"/>
        <bgColor rgb="FFD9EAF7"/>
      </patternFill>
    </fill>
    <fill>
      <patternFill patternType="solid">
        <fgColor rgb="FFF2F2F2"/>
        <bgColor rgb="FFE2F0D9"/>
      </patternFill>
    </fill>
    <fill>
      <patternFill patternType="solid">
        <fgColor rgb="FF1F4E78"/>
        <bgColor rgb="FF156082"/>
      </patternFill>
    </fill>
    <fill>
      <patternFill patternType="solid">
        <fgColor rgb="FF4472A8"/>
        <bgColor rgb="FF3366FF"/>
      </patternFill>
    </fill>
    <fill>
      <patternFill patternType="solid">
        <fgColor rgb="FFFFF2CC"/>
        <bgColor rgb="FFFBE3D6"/>
      </patternFill>
    </fill>
    <fill>
      <patternFill patternType="solid">
        <fgColor rgb="FFB4C7E7"/>
        <bgColor rgb="FFD0D0D0"/>
      </patternFill>
    </fill>
    <fill>
      <patternFill patternType="solid">
        <fgColor rgb="FFD9EAF7"/>
        <bgColor rgb="FFE2F0D9"/>
      </patternFill>
    </fill>
    <fill>
      <patternFill patternType="solid">
        <fgColor rgb="FFFFFF00"/>
        <bgColor rgb="FFFFFF00"/>
      </patternFill>
    </fill>
    <fill>
      <patternFill patternType="solid">
        <fgColor rgb="FFE2F0D9"/>
        <bgColor rgb="FFD9EAF7"/>
      </patternFill>
    </fill>
  </fills>
  <borders count="8">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bottom style="thick">
        <color theme="4" tint="0.49989318521683401"/>
      </bottom>
      <diagonal/>
    </border>
    <border>
      <left style="thin">
        <color rgb="FFD0D0D0"/>
      </left>
      <right style="thin">
        <color rgb="FFD0D0D0"/>
      </right>
      <top style="thin">
        <color rgb="FFD0D0D0"/>
      </top>
      <bottom style="thin">
        <color rgb="FFD0D0D0"/>
      </bottom>
      <diagonal/>
    </border>
    <border>
      <left style="thin">
        <color rgb="FFB7B7B7"/>
      </left>
      <right style="thin">
        <color rgb="FFB7B7B7"/>
      </right>
      <top style="thin">
        <color rgb="FFB7B7B7"/>
      </top>
      <bottom style="thin">
        <color rgb="FFB7B7B7"/>
      </bottom>
      <diagonal/>
    </border>
    <border>
      <left style="thin">
        <color rgb="FFB7B7B7"/>
      </left>
      <right/>
      <top/>
      <bottom/>
      <diagonal/>
    </border>
    <border>
      <left style="thin">
        <color rgb="FFB0B0B0"/>
      </left>
      <right style="thin">
        <color rgb="FFB0B0B0"/>
      </right>
      <top style="thin">
        <color rgb="FFB0B0B0"/>
      </top>
      <bottom style="thin">
        <color rgb="FFB0B0B0"/>
      </bottom>
      <diagonal/>
    </border>
  </borders>
  <cellStyleXfs count="11">
    <xf numFmtId="0" fontId="0" fillId="0" borderId="0"/>
    <xf numFmtId="169" fontId="26" fillId="0" borderId="0"/>
    <xf numFmtId="167" fontId="26" fillId="0" borderId="0"/>
    <xf numFmtId="9" fontId="26" fillId="0" borderId="0"/>
    <xf numFmtId="0" fontId="13" fillId="0" borderId="1"/>
    <xf numFmtId="0" fontId="19" fillId="2" borderId="0"/>
    <xf numFmtId="0" fontId="26" fillId="3" borderId="0"/>
    <xf numFmtId="0" fontId="26" fillId="4" borderId="0"/>
    <xf numFmtId="0" fontId="20" fillId="0" borderId="0"/>
    <xf numFmtId="0" fontId="21" fillId="5" borderId="2"/>
    <xf numFmtId="0" fontId="22" fillId="0" borderId="3"/>
  </cellStyleXfs>
  <cellXfs count="92">
    <xf numFmtId="0" fontId="0" fillId="0" borderId="0" xfId="0"/>
    <xf numFmtId="0" fontId="24" fillId="0" borderId="0" xfId="0" applyFont="1" applyAlignment="1">
      <alignment wrapText="1"/>
    </xf>
    <xf numFmtId="0" fontId="25" fillId="0" borderId="0" xfId="0" applyFont="1"/>
    <xf numFmtId="0" fontId="10" fillId="6" borderId="0" xfId="0" applyFont="1" applyFill="1"/>
    <xf numFmtId="0" fontId="23" fillId="0" borderId="6" xfId="0" applyFont="1" applyBorder="1"/>
    <xf numFmtId="0" fontId="18" fillId="0" borderId="5" xfId="0" applyFont="1" applyBorder="1" applyAlignment="1">
      <alignment horizontal="center"/>
    </xf>
    <xf numFmtId="0" fontId="3" fillId="6" borderId="0" xfId="0" applyFont="1" applyFill="1"/>
    <xf numFmtId="0" fontId="10" fillId="6" borderId="5" xfId="0" applyFont="1" applyFill="1" applyBorder="1" applyAlignment="1">
      <alignment horizontal="center"/>
    </xf>
    <xf numFmtId="0" fontId="4" fillId="0" borderId="0" xfId="0" applyFont="1" applyAlignment="1">
      <alignment vertical="top" wrapText="1"/>
    </xf>
    <xf numFmtId="0" fontId="3" fillId="7" borderId="0" xfId="0" applyFont="1" applyFill="1"/>
    <xf numFmtId="0" fontId="2" fillId="0" borderId="0" xfId="0" applyFont="1" applyAlignment="1">
      <alignment vertical="top" wrapText="1"/>
    </xf>
    <xf numFmtId="0" fontId="1" fillId="6" borderId="0" xfId="0" applyFont="1" applyFill="1"/>
    <xf numFmtId="0" fontId="3" fillId="7" borderId="0" xfId="0" applyFont="1" applyFill="1"/>
    <xf numFmtId="0" fontId="4" fillId="0" borderId="4" xfId="0" applyFont="1" applyBorder="1" applyAlignment="1">
      <alignment vertical="top" wrapText="1"/>
    </xf>
    <xf numFmtId="0" fontId="5" fillId="0" borderId="0" xfId="0" applyFont="1"/>
    <xf numFmtId="0" fontId="6" fillId="0" borderId="0" xfId="0" applyFont="1"/>
    <xf numFmtId="164" fontId="6" fillId="0" borderId="0" xfId="0" applyNumberFormat="1" applyFont="1"/>
    <xf numFmtId="165" fontId="6" fillId="0" borderId="0" xfId="0" applyNumberFormat="1" applyFont="1"/>
    <xf numFmtId="0" fontId="7" fillId="0" borderId="0" xfId="0" applyFont="1"/>
    <xf numFmtId="0" fontId="8" fillId="0" borderId="0" xfId="0" applyFont="1"/>
    <xf numFmtId="0" fontId="9" fillId="0" borderId="0" xfId="0" applyFont="1"/>
    <xf numFmtId="166" fontId="9" fillId="0" borderId="0" xfId="0" applyNumberFormat="1" applyFont="1"/>
    <xf numFmtId="165" fontId="9" fillId="0" borderId="0" xfId="0" applyNumberFormat="1" applyFont="1"/>
    <xf numFmtId="0" fontId="11" fillId="0" borderId="5" xfId="0" applyFont="1" applyBorder="1"/>
    <xf numFmtId="4" fontId="12" fillId="8" borderId="5" xfId="2" applyNumberFormat="1" applyFont="1" applyFill="1" applyBorder="1"/>
    <xf numFmtId="0" fontId="8" fillId="0" borderId="5" xfId="0" applyFont="1" applyBorder="1"/>
    <xf numFmtId="165" fontId="0" fillId="8" borderId="5" xfId="0" applyNumberFormat="1" applyFill="1" applyBorder="1"/>
    <xf numFmtId="1" fontId="12" fillId="8" borderId="5" xfId="0" applyNumberFormat="1" applyFont="1" applyFill="1" applyBorder="1"/>
    <xf numFmtId="167" fontId="26" fillId="0" borderId="0" xfId="2"/>
    <xf numFmtId="0" fontId="3" fillId="6" borderId="5" xfId="0" applyFont="1" applyFill="1" applyBorder="1" applyAlignment="1">
      <alignment horizontal="center"/>
    </xf>
    <xf numFmtId="0" fontId="3" fillId="6" borderId="0" xfId="0" applyFont="1" applyFill="1" applyAlignment="1">
      <alignment horizontal="center"/>
    </xf>
    <xf numFmtId="0" fontId="8" fillId="9" borderId="5" xfId="4" applyFont="1" applyFill="1" applyBorder="1"/>
    <xf numFmtId="3" fontId="0" fillId="0" borderId="0" xfId="0" applyNumberFormat="1"/>
    <xf numFmtId="0" fontId="0" fillId="0" borderId="5" xfId="0" applyBorder="1"/>
    <xf numFmtId="166" fontId="12" fillId="0" borderId="5" xfId="2" applyNumberFormat="1" applyFont="1" applyBorder="1"/>
    <xf numFmtId="166" fontId="26" fillId="0" borderId="5" xfId="2" applyNumberFormat="1" applyBorder="1"/>
    <xf numFmtId="0" fontId="8" fillId="10" borderId="5" xfId="0" applyFont="1" applyFill="1" applyBorder="1"/>
    <xf numFmtId="165" fontId="26" fillId="0" borderId="5" xfId="3" applyNumberFormat="1" applyBorder="1"/>
    <xf numFmtId="9" fontId="26" fillId="0" borderId="0" xfId="3"/>
    <xf numFmtId="166" fontId="26" fillId="0" borderId="0" xfId="2" applyNumberFormat="1"/>
    <xf numFmtId="3" fontId="12" fillId="0" borderId="5" xfId="0" applyNumberFormat="1" applyFont="1" applyBorder="1"/>
    <xf numFmtId="38" fontId="0" fillId="0" borderId="0" xfId="0" applyNumberFormat="1"/>
    <xf numFmtId="168" fontId="0" fillId="0" borderId="5" xfId="0" applyNumberFormat="1" applyBorder="1"/>
    <xf numFmtId="167" fontId="0" fillId="0" borderId="0" xfId="0" applyNumberFormat="1"/>
    <xf numFmtId="2" fontId="0" fillId="0" borderId="5" xfId="0" applyNumberFormat="1" applyBorder="1"/>
    <xf numFmtId="3" fontId="12" fillId="0" borderId="5" xfId="1" applyNumberFormat="1" applyFont="1" applyBorder="1"/>
    <xf numFmtId="166" fontId="14" fillId="0" borderId="0" xfId="0" applyNumberFormat="1" applyFont="1"/>
    <xf numFmtId="165" fontId="12" fillId="0" borderId="0" xfId="0" applyNumberFormat="1" applyFont="1"/>
    <xf numFmtId="0" fontId="15" fillId="11" borderId="0" xfId="0" applyFont="1" applyFill="1" applyAlignment="1">
      <alignment horizontal="center"/>
    </xf>
    <xf numFmtId="0" fontId="0" fillId="0" borderId="0" xfId="0" applyProtection="1">
      <protection locked="0"/>
    </xf>
    <xf numFmtId="0" fontId="8" fillId="0" borderId="0" xfId="0" applyFont="1" applyAlignment="1">
      <alignment horizontal="center" wrapText="1"/>
    </xf>
    <xf numFmtId="0" fontId="12" fillId="0" borderId="0" xfId="0" applyFont="1"/>
    <xf numFmtId="165" fontId="14" fillId="0" borderId="0" xfId="0" applyNumberFormat="1" applyFont="1"/>
    <xf numFmtId="168" fontId="14" fillId="0" borderId="0" xfId="0" applyNumberFormat="1" applyFont="1"/>
    <xf numFmtId="165" fontId="16" fillId="0" borderId="0" xfId="0" applyNumberFormat="1" applyFont="1"/>
    <xf numFmtId="0" fontId="8" fillId="10" borderId="5" xfId="5" applyFont="1" applyFill="1" applyBorder="1" applyAlignment="1">
      <alignment horizontal="center"/>
    </xf>
    <xf numFmtId="0" fontId="8" fillId="10" borderId="0" xfId="5" applyFont="1" applyFill="1" applyAlignment="1">
      <alignment horizontal="center"/>
    </xf>
    <xf numFmtId="0" fontId="8" fillId="12" borderId="5" xfId="6" applyFont="1" applyFill="1" applyBorder="1" applyAlignment="1">
      <alignment horizontal="center"/>
    </xf>
    <xf numFmtId="0" fontId="8" fillId="12" borderId="0" xfId="6" applyFont="1" applyFill="1" applyAlignment="1">
      <alignment horizontal="center"/>
    </xf>
    <xf numFmtId="0" fontId="3" fillId="6" borderId="5" xfId="7" applyFont="1" applyFill="1" applyBorder="1" applyAlignment="1">
      <alignment horizontal="center"/>
    </xf>
    <xf numFmtId="0" fontId="20" fillId="9" borderId="5" xfId="8" applyFill="1" applyBorder="1"/>
    <xf numFmtId="166" fontId="0" fillId="0" borderId="5" xfId="0" applyNumberFormat="1" applyBorder="1"/>
    <xf numFmtId="166" fontId="12" fillId="0" borderId="5" xfId="0" applyNumberFormat="1" applyFont="1" applyBorder="1"/>
    <xf numFmtId="166" fontId="14" fillId="0" borderId="5" xfId="2" applyNumberFormat="1" applyFont="1" applyBorder="1"/>
    <xf numFmtId="0" fontId="8" fillId="10" borderId="5" xfId="9" applyFont="1" applyFill="1" applyBorder="1"/>
    <xf numFmtId="166" fontId="8" fillId="10" borderId="5" xfId="9" applyNumberFormat="1" applyFont="1" applyFill="1" applyBorder="1"/>
    <xf numFmtId="170" fontId="0" fillId="0" borderId="0" xfId="0" applyNumberFormat="1"/>
    <xf numFmtId="0" fontId="8" fillId="9" borderId="5" xfId="10" applyFont="1" applyFill="1" applyBorder="1"/>
    <xf numFmtId="166" fontId="0" fillId="0" borderId="0" xfId="0" applyNumberFormat="1"/>
    <xf numFmtId="166" fontId="16" fillId="0" borderId="5" xfId="0" applyNumberFormat="1" applyFont="1" applyBorder="1"/>
    <xf numFmtId="166" fontId="16" fillId="0" borderId="5" xfId="2" applyNumberFormat="1" applyFont="1" applyBorder="1"/>
    <xf numFmtId="170" fontId="26" fillId="0" borderId="0" xfId="2" applyNumberFormat="1"/>
    <xf numFmtId="0" fontId="11" fillId="10" borderId="5" xfId="9" applyFont="1" applyFill="1" applyBorder="1"/>
    <xf numFmtId="166" fontId="12" fillId="0" borderId="0" xfId="0" applyNumberFormat="1" applyFont="1"/>
    <xf numFmtId="166" fontId="16" fillId="0" borderId="0" xfId="0" applyNumberFormat="1" applyFont="1"/>
    <xf numFmtId="0" fontId="8" fillId="9" borderId="5" xfId="0" applyFont="1" applyFill="1" applyBorder="1"/>
    <xf numFmtId="3" fontId="0" fillId="0" borderId="5" xfId="0" applyNumberFormat="1" applyBorder="1"/>
    <xf numFmtId="3" fontId="26" fillId="0" borderId="5" xfId="1" applyNumberFormat="1" applyBorder="1"/>
    <xf numFmtId="3" fontId="14" fillId="0" borderId="5" xfId="0" applyNumberFormat="1" applyFont="1" applyBorder="1"/>
    <xf numFmtId="168" fontId="26" fillId="0" borderId="5" xfId="2" applyNumberFormat="1" applyBorder="1"/>
    <xf numFmtId="168" fontId="14" fillId="0" borderId="5" xfId="0" applyNumberFormat="1" applyFont="1" applyBorder="1"/>
    <xf numFmtId="165" fontId="0" fillId="0" borderId="5" xfId="0" applyNumberFormat="1" applyBorder="1"/>
    <xf numFmtId="165" fontId="0" fillId="0" borderId="0" xfId="0" applyNumberFormat="1"/>
    <xf numFmtId="168" fontId="0" fillId="0" borderId="0" xfId="0" applyNumberFormat="1"/>
    <xf numFmtId="2" fontId="12" fillId="0" borderId="0" xfId="0" applyNumberFormat="1" applyFont="1"/>
    <xf numFmtId="2" fontId="14" fillId="0" borderId="0" xfId="0" applyNumberFormat="1" applyFont="1"/>
    <xf numFmtId="0" fontId="14" fillId="0" borderId="0" xfId="0" applyFont="1"/>
    <xf numFmtId="0" fontId="24" fillId="0" borderId="0" xfId="0" applyFont="1"/>
    <xf numFmtId="165" fontId="3" fillId="7" borderId="0" xfId="0" applyNumberFormat="1" applyFont="1" applyFill="1" applyAlignment="1">
      <alignment horizontal="center"/>
    </xf>
    <xf numFmtId="168" fontId="3" fillId="7" borderId="0" xfId="0" applyNumberFormat="1" applyFont="1" applyFill="1" applyAlignment="1">
      <alignment horizontal="center"/>
    </xf>
    <xf numFmtId="166" fontId="14" fillId="0" borderId="7" xfId="0" applyNumberFormat="1" applyFont="1" applyBorder="1" applyAlignment="1">
      <alignment horizontal="center"/>
    </xf>
    <xf numFmtId="3" fontId="16" fillId="0" borderId="0" xfId="0" applyNumberFormat="1" applyFont="1"/>
  </cellXfs>
  <cellStyles count="11">
    <cellStyle name="Comma" xfId="1" builtinId="3"/>
    <cellStyle name="Currency" xfId="2" builtinId="4"/>
    <cellStyle name="Excel Built-in 20% - Accent1" xfId="7" xr:uid="{00000000-0005-0000-0000-000009000000}"/>
    <cellStyle name="Excel Built-in 20% - Accent2" xfId="6" xr:uid="{00000000-0005-0000-0000-000008000000}"/>
    <cellStyle name="Excel Built-in Accent1" xfId="5" xr:uid="{00000000-0005-0000-0000-000007000000}"/>
    <cellStyle name="Excel Built-in Heading 1" xfId="4" xr:uid="{00000000-0005-0000-0000-000006000000}"/>
    <cellStyle name="Excel Built-in Heading 2" xfId="10" xr:uid="{00000000-0005-0000-0000-00000C000000}"/>
    <cellStyle name="Excel Built-in Heading 4" xfId="8" xr:uid="{00000000-0005-0000-0000-00000A000000}"/>
    <cellStyle name="Excel Built-in Output" xfId="9" xr:uid="{00000000-0005-0000-0000-00000B000000}"/>
    <cellStyle name="Normal" xfId="0" builtinId="0"/>
    <cellStyle name="Percent" xfId="3" builtinId="5"/>
  </cellStyles>
  <dxfs count="1">
    <dxf>
      <font>
        <color rgb="FF9C00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156082"/>
      <rgbColor rgb="FFB7B7B7"/>
      <rgbColor rgb="FF808080"/>
      <rgbColor rgb="FFB0B0B0"/>
      <rgbColor rgb="FF595959"/>
      <rgbColor rgb="FFFFF2CC"/>
      <rgbColor rgb="FFD9EAF7"/>
      <rgbColor rgb="FF660066"/>
      <rgbColor rgb="FFFF8080"/>
      <rgbColor rgb="FF0066CC"/>
      <rgbColor rgb="FFB4C7E7"/>
      <rgbColor rgb="FF000080"/>
      <rgbColor rgb="FFFF00FF"/>
      <rgbColor rgb="FFFFFF00"/>
      <rgbColor rgb="FF00FFFF"/>
      <rgbColor rgb="FF800080"/>
      <rgbColor rgb="FF800000"/>
      <rgbColor rgb="FF196B24"/>
      <rgbColor rgb="FF0000FF"/>
      <rgbColor rgb="FF0F9ED5"/>
      <rgbColor rgb="FFC1E5F5"/>
      <rgbColor rgb="FFE2F0D9"/>
      <rgbColor rgb="FFF2F2F2"/>
      <rgbColor rgb="FFD0D0D0"/>
      <rgbColor rgb="FFFF99CC"/>
      <rgbColor rgb="FFD9D9D9"/>
      <rgbColor rgb="FFFBE3D6"/>
      <rgbColor rgb="FF3366FF"/>
      <rgbColor rgb="FF64BEE6"/>
      <rgbColor rgb="FF99CC00"/>
      <rgbColor rgb="FFFFCC00"/>
      <rgbColor rgb="FFFF9900"/>
      <rgbColor rgb="FFE97132"/>
      <rgbColor rgb="FF4472A8"/>
      <rgbColor rgb="FF8B8B8B"/>
      <rgbColor rgb="FF0E2841"/>
      <rgbColor rgb="FF339966"/>
      <rgbColor rgb="FF003300"/>
      <rgbColor rgb="FF404040"/>
      <rgbColor rgb="FF993300"/>
      <rgbColor rgb="FF993366"/>
      <rgbColor rgb="FF1F4E78"/>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US" sz="1800" b="1" strike="noStrike" spc="-1">
                <a:solidFill>
                  <a:srgbClr val="000000"/>
                </a:solidFill>
                <a:latin typeface="Aptos Narrow"/>
              </a:rPr>
              <a:t>Revenue by Segment, 2022–2030</a:t>
            </a:r>
          </a:p>
        </c:rich>
      </c:tx>
      <c:overlay val="0"/>
      <c:spPr>
        <a:noFill/>
        <a:ln w="0">
          <a:noFill/>
        </a:ln>
      </c:spPr>
    </c:title>
    <c:autoTitleDeleted val="0"/>
    <c:plotArea>
      <c:layout/>
      <c:barChart>
        <c:barDir val="col"/>
        <c:grouping val="stacked"/>
        <c:varyColors val="0"/>
        <c:ser>
          <c:idx val="0"/>
          <c:order val="0"/>
          <c:tx>
            <c:strRef>
              <c:f>Dashboard!$B$9</c:f>
              <c:strCache>
                <c:ptCount val="1"/>
                <c:pt idx="0">
                  <c:v>Passenger Revenue</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Dashboard!$C$8:$K$8</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f>Dashboard!$C$9:$K$9</c:f>
              <c:numCache>
                <c:formatCode>\$#,##0</c:formatCode>
                <c:ptCount val="9"/>
                <c:pt idx="0">
                  <c:v>2137762000</c:v>
                </c:pt>
                <c:pt idx="1">
                  <c:v>2324387000</c:v>
                </c:pt>
                <c:pt idx="2">
                  <c:v>2217059000</c:v>
                </c:pt>
                <c:pt idx="3">
                  <c:v>2111425707.0243332</c:v>
                </c:pt>
                <c:pt idx="4">
                  <c:v>2187560878.2710605</c:v>
                </c:pt>
                <c:pt idx="5">
                  <c:v>2266441381.3954301</c:v>
                </c:pt>
                <c:pt idx="6">
                  <c:v>2348166209.3726339</c:v>
                </c:pt>
                <c:pt idx="7">
                  <c:v>2432837924.7314086</c:v>
                </c:pt>
                <c:pt idx="8">
                  <c:v>2520562788.2673354</c:v>
                </c:pt>
              </c:numCache>
            </c:numRef>
          </c:val>
          <c:extLst>
            <c:ext xmlns:c16="http://schemas.microsoft.com/office/drawing/2014/chart" uri="{C3380CC4-5D6E-409C-BE32-E72D297353CC}">
              <c16:uniqueId val="{00000000-BAD5-40FA-8C1A-2EEABEE2EF9E}"/>
            </c:ext>
          </c:extLst>
        </c:ser>
        <c:ser>
          <c:idx val="1"/>
          <c:order val="1"/>
          <c:tx>
            <c:strRef>
              <c:f>Dashboard!$B$10</c:f>
              <c:strCache>
                <c:ptCount val="1"/>
                <c:pt idx="0">
                  <c:v>Third Party Products</c:v>
                </c:pt>
              </c:strCache>
            </c:strRef>
          </c:tx>
          <c:spPr>
            <a:solidFill>
              <a:srgbClr val="E9713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Dashboard!$C$8:$K$8</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f>Dashboard!$C$10:$K$10</c:f>
              <c:numCache>
                <c:formatCode>\$#,##0</c:formatCode>
                <c:ptCount val="9"/>
                <c:pt idx="0">
                  <c:v>100959000</c:v>
                </c:pt>
                <c:pt idx="1">
                  <c:v>112579000</c:v>
                </c:pt>
                <c:pt idx="2">
                  <c:v>142128000</c:v>
                </c:pt>
                <c:pt idx="3">
                  <c:v>169355121.43638408</c:v>
                </c:pt>
                <c:pt idx="4">
                  <c:v>201798077.48460823</c:v>
                </c:pt>
                <c:pt idx="5">
                  <c:v>240456053.12137422</c:v>
                </c:pt>
                <c:pt idx="6">
                  <c:v>286519644.80245948</c:v>
                </c:pt>
                <c:pt idx="7">
                  <c:v>341407528.70250875</c:v>
                </c:pt>
                <c:pt idx="8">
                  <c:v>406810153.40192753</c:v>
                </c:pt>
              </c:numCache>
            </c:numRef>
          </c:val>
          <c:extLst>
            <c:ext xmlns:c16="http://schemas.microsoft.com/office/drawing/2014/chart" uri="{C3380CC4-5D6E-409C-BE32-E72D297353CC}">
              <c16:uniqueId val="{00000001-BAD5-40FA-8C1A-2EEABEE2EF9E}"/>
            </c:ext>
          </c:extLst>
        </c:ser>
        <c:ser>
          <c:idx val="2"/>
          <c:order val="2"/>
          <c:tx>
            <c:strRef>
              <c:f>Dashboard!$B$11</c:f>
              <c:strCache>
                <c:ptCount val="1"/>
                <c:pt idx="0">
                  <c:v>Fixed Fee Contracts</c:v>
                </c:pt>
              </c:strCache>
            </c:strRef>
          </c:tx>
          <c:spPr>
            <a:solidFill>
              <a:srgbClr val="196B2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Dashboard!$C$8:$K$8</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f>Dashboard!$C$11:$K$11</c:f>
              <c:numCache>
                <c:formatCode>\$#,##0</c:formatCode>
                <c:ptCount val="9"/>
                <c:pt idx="0">
                  <c:v>60937000</c:v>
                </c:pt>
                <c:pt idx="1">
                  <c:v>68548000</c:v>
                </c:pt>
                <c:pt idx="2">
                  <c:v>80660000</c:v>
                </c:pt>
                <c:pt idx="3">
                  <c:v>92823253.354186222</c:v>
                </c:pt>
                <c:pt idx="4">
                  <c:v>106820683.89853017</c:v>
                </c:pt>
                <c:pt idx="5">
                  <c:v>122928879.30796809</c:v>
                </c:pt>
                <c:pt idx="6">
                  <c:v>141466135.7370407</c:v>
                </c:pt>
                <c:pt idx="7">
                  <c:v>162798747.31660089</c:v>
                </c:pt>
                <c:pt idx="8">
                  <c:v>187348244.0852094</c:v>
                </c:pt>
              </c:numCache>
            </c:numRef>
          </c:val>
          <c:extLst>
            <c:ext xmlns:c16="http://schemas.microsoft.com/office/drawing/2014/chart" uri="{C3380CC4-5D6E-409C-BE32-E72D297353CC}">
              <c16:uniqueId val="{00000002-BAD5-40FA-8C1A-2EEABEE2EF9E}"/>
            </c:ext>
          </c:extLst>
        </c:ser>
        <c:ser>
          <c:idx val="3"/>
          <c:order val="3"/>
          <c:tx>
            <c:strRef>
              <c:f>Dashboard!$B$12</c:f>
              <c:strCache>
                <c:ptCount val="1"/>
                <c:pt idx="0">
                  <c:v>Resort and Other</c:v>
                </c:pt>
              </c:strCache>
            </c:strRef>
          </c:tx>
          <c:spPr>
            <a:solidFill>
              <a:srgbClr val="0F9E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Dashboard!$C$8:$K$8</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f>Dashboard!$C$12:$K$12</c:f>
              <c:numCache>
                <c:formatCode>\$#,##0</c:formatCode>
                <c:ptCount val="9"/>
                <c:pt idx="0">
                  <c:v>2171000</c:v>
                </c:pt>
                <c:pt idx="1">
                  <c:v>4333000</c:v>
                </c:pt>
                <c:pt idx="2">
                  <c:v>72742000</c:v>
                </c:pt>
                <c:pt idx="3">
                  <c:v>120730305.66221493</c:v>
                </c:pt>
                <c:pt idx="4">
                  <c:v>176088673.06598061</c:v>
                </c:pt>
                <c:pt idx="5">
                  <c:v>230261797.98409635</c:v>
                </c:pt>
                <c:pt idx="6">
                  <c:v>277939489.78283036</c:v>
                </c:pt>
                <c:pt idx="7">
                  <c:v>313123308.39614075</c:v>
                </c:pt>
                <c:pt idx="8">
                  <c:v>340162371.71339869</c:v>
                </c:pt>
              </c:numCache>
            </c:numRef>
          </c:val>
          <c:extLst>
            <c:ext xmlns:c16="http://schemas.microsoft.com/office/drawing/2014/chart" uri="{C3380CC4-5D6E-409C-BE32-E72D297353CC}">
              <c16:uniqueId val="{00000003-BAD5-40FA-8C1A-2EEABEE2EF9E}"/>
            </c:ext>
          </c:extLst>
        </c:ser>
        <c:dLbls>
          <c:showLegendKey val="0"/>
          <c:showVal val="0"/>
          <c:showCatName val="0"/>
          <c:showSerName val="0"/>
          <c:showPercent val="0"/>
          <c:showBubbleSize val="0"/>
        </c:dLbls>
        <c:gapWidth val="150"/>
        <c:overlap val="100"/>
        <c:axId val="92061164"/>
        <c:axId val="94974251"/>
      </c:barChart>
      <c:catAx>
        <c:axId val="92061164"/>
        <c:scaling>
          <c:orientation val="minMax"/>
        </c:scaling>
        <c:delete val="0"/>
        <c:axPos val="b"/>
        <c:title>
          <c:tx>
            <c:rich>
              <a:bodyPr rot="0"/>
              <a:lstStyle/>
              <a:p>
                <a:pPr>
                  <a:defRPr sz="1000" b="1" strike="noStrike" spc="-1">
                    <a:solidFill>
                      <a:srgbClr val="000000"/>
                    </a:solidFill>
                    <a:latin typeface="Aptos Narrow"/>
                  </a:defRPr>
                </a:pPr>
                <a:r>
                  <a:rPr lang="en-US" sz="1000" b="1" strike="noStrike" spc="-1">
                    <a:solidFill>
                      <a:srgbClr val="000000"/>
                    </a:solidFill>
                    <a:latin typeface="Aptos Narrow"/>
                  </a:rPr>
                  <a:t>Year</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94974251"/>
        <c:crosses val="autoZero"/>
        <c:auto val="1"/>
        <c:lblAlgn val="ctr"/>
        <c:lblOffset val="100"/>
        <c:noMultiLvlLbl val="0"/>
      </c:catAx>
      <c:valAx>
        <c:axId val="94974251"/>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US" sz="1000" b="1" strike="noStrike" spc="-1">
                    <a:solidFill>
                      <a:srgbClr val="000000"/>
                    </a:solidFill>
                    <a:latin typeface="Aptos Narrow"/>
                  </a:rPr>
                  <a:t>Revenue ($)</a:t>
                </a:r>
              </a:p>
            </c:rich>
          </c:tx>
          <c:overlay val="0"/>
          <c:spPr>
            <a:noFill/>
            <a:ln w="0">
              <a:noFill/>
            </a:ln>
          </c:spPr>
        </c:title>
        <c:numFmt formatCode="\$#,##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9206116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lang="en-US" sz="1800" b="1" strike="noStrike" spc="-1">
                <a:solidFill>
                  <a:srgbClr val="000000"/>
                </a:solidFill>
                <a:latin typeface="Aptos Narrow"/>
              </a:rPr>
              <a:t>Operating Profit &amp; Net Income, 2022–2030</a:t>
            </a:r>
          </a:p>
        </c:rich>
      </c:tx>
      <c:overlay val="0"/>
      <c:spPr>
        <a:noFill/>
        <a:ln w="0">
          <a:noFill/>
        </a:ln>
      </c:spPr>
    </c:title>
    <c:autoTitleDeleted val="0"/>
    <c:plotArea>
      <c:layout/>
      <c:lineChart>
        <c:grouping val="standard"/>
        <c:varyColors val="0"/>
        <c:ser>
          <c:idx val="0"/>
          <c:order val="0"/>
          <c:tx>
            <c:strRef>
              <c:f>Dashboard!$B$13</c:f>
              <c:strCache>
                <c:ptCount val="1"/>
                <c:pt idx="0">
                  <c:v>Operating Profit</c:v>
                </c:pt>
              </c:strCache>
            </c:strRef>
          </c:tx>
          <c:spPr>
            <a:ln w="38160">
              <a:solidFill>
                <a:srgbClr val="156082"/>
              </a:solidFill>
              <a:round/>
            </a:ln>
          </c:spPr>
          <c:marker>
            <c:symbol val="circle"/>
            <c:size val="5"/>
            <c:spPr>
              <a:solidFill>
                <a:srgbClr val="156082"/>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Dashboard!$C$8:$K$8</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f>Dashboard!$C$13:$K$13</c:f>
              <c:numCache>
                <c:formatCode>\$#,##0</c:formatCode>
                <c:ptCount val="9"/>
                <c:pt idx="0">
                  <c:v>91646000</c:v>
                </c:pt>
                <c:pt idx="1">
                  <c:v>220971000</c:v>
                </c:pt>
                <c:pt idx="2">
                  <c:v>-239976000</c:v>
                </c:pt>
                <c:pt idx="3">
                  <c:v>-83279048.213210583</c:v>
                </c:pt>
                <c:pt idx="4">
                  <c:v>-224467653.93647146</c:v>
                </c:pt>
                <c:pt idx="5">
                  <c:v>-414628292.2356782</c:v>
                </c:pt>
                <c:pt idx="6">
                  <c:v>-669217248.35356808</c:v>
                </c:pt>
                <c:pt idx="7">
                  <c:v>-1006576100.4862747</c:v>
                </c:pt>
                <c:pt idx="8">
                  <c:v>-1437861269.7529974</c:v>
                </c:pt>
              </c:numCache>
            </c:numRef>
          </c:val>
          <c:smooth val="0"/>
          <c:extLst>
            <c:ext xmlns:c16="http://schemas.microsoft.com/office/drawing/2014/chart" uri="{C3380CC4-5D6E-409C-BE32-E72D297353CC}">
              <c16:uniqueId val="{00000000-383F-416F-B3C2-06FDCD77A5A8}"/>
            </c:ext>
          </c:extLst>
        </c:ser>
        <c:ser>
          <c:idx val="1"/>
          <c:order val="1"/>
          <c:tx>
            <c:strRef>
              <c:f>Dashboard!$B$14</c:f>
              <c:strCache>
                <c:ptCount val="1"/>
                <c:pt idx="0">
                  <c:v>Net Income</c:v>
                </c:pt>
              </c:strCache>
            </c:strRef>
          </c:tx>
          <c:spPr>
            <a:ln w="38160">
              <a:solidFill>
                <a:srgbClr val="E97132"/>
              </a:solidFill>
              <a:round/>
            </a:ln>
          </c:spPr>
          <c:marker>
            <c:symbol val="circle"/>
            <c:size val="5"/>
            <c:spPr>
              <a:solidFill>
                <a:srgbClr val="E97132"/>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Dashboard!$C$8:$K$8</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f>Dashboard!$C$14:$K$14</c:f>
              <c:numCache>
                <c:formatCode>\$#,##0</c:formatCode>
                <c:ptCount val="9"/>
                <c:pt idx="0">
                  <c:v>2676000</c:v>
                </c:pt>
                <c:pt idx="1">
                  <c:v>118571000</c:v>
                </c:pt>
                <c:pt idx="2">
                  <c:v>-237386000</c:v>
                </c:pt>
                <c:pt idx="3">
                  <c:v>-116378039.11780635</c:v>
                </c:pt>
                <c:pt idx="4">
                  <c:v>-227018582.84498721</c:v>
                </c:pt>
                <c:pt idx="5">
                  <c:v>-375004975.64751518</c:v>
                </c:pt>
                <c:pt idx="6">
                  <c:v>-572088835.34163642</c:v>
                </c:pt>
                <c:pt idx="7">
                  <c:v>-832214786.76892138</c:v>
                </c:pt>
                <c:pt idx="8">
                  <c:v>-1163866926.7957377</c:v>
                </c:pt>
              </c:numCache>
            </c:numRef>
          </c:val>
          <c:smooth val="0"/>
          <c:extLst>
            <c:ext xmlns:c16="http://schemas.microsoft.com/office/drawing/2014/chart" uri="{C3380CC4-5D6E-409C-BE32-E72D297353CC}">
              <c16:uniqueId val="{00000001-383F-416F-B3C2-06FDCD77A5A8}"/>
            </c:ext>
          </c:extLst>
        </c:ser>
        <c:dLbls>
          <c:showLegendKey val="0"/>
          <c:showVal val="0"/>
          <c:showCatName val="0"/>
          <c:showSerName val="0"/>
          <c:showPercent val="0"/>
          <c:showBubbleSize val="0"/>
        </c:dLbls>
        <c:hiLowLines>
          <c:spPr>
            <a:ln w="0">
              <a:noFill/>
            </a:ln>
          </c:spPr>
        </c:hiLowLines>
        <c:marker val="1"/>
        <c:smooth val="0"/>
        <c:axId val="19802815"/>
        <c:axId val="22316912"/>
      </c:lineChart>
      <c:catAx>
        <c:axId val="19802815"/>
        <c:scaling>
          <c:orientation val="minMax"/>
        </c:scaling>
        <c:delete val="0"/>
        <c:axPos val="b"/>
        <c:title>
          <c:tx>
            <c:rich>
              <a:bodyPr rot="0"/>
              <a:lstStyle/>
              <a:p>
                <a:pPr>
                  <a:defRPr sz="1000" b="1" strike="noStrike" spc="-1">
                    <a:solidFill>
                      <a:srgbClr val="000000"/>
                    </a:solidFill>
                    <a:latin typeface="Aptos Narrow"/>
                  </a:defRPr>
                </a:pPr>
                <a:r>
                  <a:rPr lang="en-US" sz="1000" b="1" strike="noStrike" spc="-1">
                    <a:solidFill>
                      <a:srgbClr val="000000"/>
                    </a:solidFill>
                    <a:latin typeface="Aptos Narrow"/>
                  </a:rPr>
                  <a:t>Year</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22316912"/>
        <c:crosses val="autoZero"/>
        <c:auto val="1"/>
        <c:lblAlgn val="ctr"/>
        <c:lblOffset val="100"/>
        <c:noMultiLvlLbl val="0"/>
      </c:catAx>
      <c:valAx>
        <c:axId val="22316912"/>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lang="en-US" sz="1000" b="1" strike="noStrike" spc="-1">
                    <a:solidFill>
                      <a:srgbClr val="000000"/>
                    </a:solidFill>
                    <a:latin typeface="Aptos Narrow"/>
                  </a:rPr>
                  <a:t>USD</a:t>
                </a:r>
              </a:p>
            </c:rich>
          </c:tx>
          <c:overlay val="0"/>
          <c:spPr>
            <a:noFill/>
            <a:ln w="0">
              <a:noFill/>
            </a:ln>
          </c:spPr>
        </c:title>
        <c:numFmt formatCode="\$#,##0"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1980281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ptos Narrow"/>
              </a:defRPr>
            </a:pPr>
            <a:r>
              <a:rPr sz="1800" b="1" strike="noStrike" spc="-1">
                <a:solidFill>
                  <a:srgbClr val="000000"/>
                </a:solidFill>
                <a:latin typeface="Aptos Narrow"/>
              </a:rPr>
              <a:t>Operating Margin &amp; Net Margin, 2022–2030</a:t>
            </a:r>
          </a:p>
        </c:rich>
      </c:tx>
      <c:overlay val="0"/>
      <c:spPr>
        <a:noFill/>
        <a:ln w="0">
          <a:noFill/>
        </a:ln>
      </c:spPr>
    </c:title>
    <c:autoTitleDeleted val="0"/>
    <c:plotArea>
      <c:layout/>
      <c:lineChart>
        <c:grouping val="standard"/>
        <c:varyColors val="0"/>
        <c:ser>
          <c:idx val="0"/>
          <c:order val="0"/>
          <c:tx>
            <c:strRef>
              <c:f>Dashboard!$B$15</c:f>
              <c:strCache>
                <c:ptCount val="1"/>
                <c:pt idx="0">
                  <c:v>Operating Margin %</c:v>
                </c:pt>
              </c:strCache>
            </c:strRef>
          </c:tx>
          <c:spPr>
            <a:ln w="38160">
              <a:solidFill>
                <a:srgbClr val="156082"/>
              </a:solidFill>
              <a:round/>
            </a:ln>
          </c:spPr>
          <c:marker>
            <c:symbol val="circle"/>
            <c:size val="5"/>
            <c:spPr>
              <a:solidFill>
                <a:srgbClr val="156082"/>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Dashboard!$C$8:$K$8</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f>Dashboard!$C$15:$K$15</c:f>
              <c:numCache>
                <c:formatCode>0.0%</c:formatCode>
                <c:ptCount val="9"/>
                <c:pt idx="0">
                  <c:v>3.9814425832674798E-2</c:v>
                </c:pt>
                <c:pt idx="1">
                  <c:v>8.8041621660603211E-2</c:v>
                </c:pt>
                <c:pt idx="2">
                  <c:v>-9.5509452600485004E-2</c:v>
                </c:pt>
                <c:pt idx="3">
                  <c:v>-3.338728304886289E-2</c:v>
                </c:pt>
                <c:pt idx="4">
                  <c:v>-8.399892064280752E-2</c:v>
                </c:pt>
                <c:pt idx="5">
                  <c:v>-0.14497046105808456</c:v>
                </c:pt>
                <c:pt idx="6">
                  <c:v>-0.21912154655577243</c:v>
                </c:pt>
                <c:pt idx="7">
                  <c:v>-0.3096997609057246</c:v>
                </c:pt>
                <c:pt idx="8">
                  <c:v>-0.41618226659043311</c:v>
                </c:pt>
              </c:numCache>
            </c:numRef>
          </c:val>
          <c:smooth val="0"/>
          <c:extLst>
            <c:ext xmlns:c16="http://schemas.microsoft.com/office/drawing/2014/chart" uri="{C3380CC4-5D6E-409C-BE32-E72D297353CC}">
              <c16:uniqueId val="{00000000-8E04-486D-B53E-7354911A0520}"/>
            </c:ext>
          </c:extLst>
        </c:ser>
        <c:ser>
          <c:idx val="1"/>
          <c:order val="1"/>
          <c:tx>
            <c:strRef>
              <c:f>Dashboard!$B$16</c:f>
              <c:strCache>
                <c:ptCount val="1"/>
                <c:pt idx="0">
                  <c:v>Net Margin %</c:v>
                </c:pt>
              </c:strCache>
            </c:strRef>
          </c:tx>
          <c:spPr>
            <a:ln w="38160">
              <a:solidFill>
                <a:srgbClr val="E97132"/>
              </a:solidFill>
              <a:round/>
            </a:ln>
          </c:spPr>
          <c:marker>
            <c:symbol val="circle"/>
            <c:size val="5"/>
            <c:spPr>
              <a:solidFill>
                <a:srgbClr val="E97132"/>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Dashboard!$C$8:$K$8</c:f>
              <c:numCache>
                <c:formatCode>General</c:formatCode>
                <c:ptCount val="9"/>
                <c:pt idx="0">
                  <c:v>2022</c:v>
                </c:pt>
                <c:pt idx="1">
                  <c:v>2023</c:v>
                </c:pt>
                <c:pt idx="2">
                  <c:v>2024</c:v>
                </c:pt>
                <c:pt idx="3">
                  <c:v>2025</c:v>
                </c:pt>
                <c:pt idx="4">
                  <c:v>2026</c:v>
                </c:pt>
                <c:pt idx="5">
                  <c:v>2027</c:v>
                </c:pt>
                <c:pt idx="6">
                  <c:v>2028</c:v>
                </c:pt>
                <c:pt idx="7">
                  <c:v>2029</c:v>
                </c:pt>
                <c:pt idx="8">
                  <c:v>2030</c:v>
                </c:pt>
              </c:numCache>
            </c:numRef>
          </c:cat>
          <c:val>
            <c:numRef>
              <c:f>Dashboard!$C$16:$K$16</c:f>
              <c:numCache>
                <c:formatCode>0.0%</c:formatCode>
                <c:ptCount val="9"/>
                <c:pt idx="0">
                  <c:v>1.1625537778870629E-3</c:v>
                </c:pt>
                <c:pt idx="1">
                  <c:v>4.7242321942333534E-2</c:v>
                </c:pt>
                <c:pt idx="2">
                  <c:v>-9.4478643343579069E-2</c:v>
                </c:pt>
                <c:pt idx="3">
                  <c:v>-4.6656951731125482E-2</c:v>
                </c:pt>
                <c:pt idx="4">
                  <c:v>-8.495351374873672E-2</c:v>
                </c:pt>
                <c:pt idx="5">
                  <c:v>-0.13111658137355162</c:v>
                </c:pt>
                <c:pt idx="6">
                  <c:v>-0.18731882759411494</c:v>
                </c:pt>
                <c:pt idx="7">
                  <c:v>-0.25605289094389533</c:v>
                </c:pt>
                <c:pt idx="8">
                  <c:v>-0.33687587654871676</c:v>
                </c:pt>
              </c:numCache>
            </c:numRef>
          </c:val>
          <c:smooth val="0"/>
          <c:extLst>
            <c:ext xmlns:c16="http://schemas.microsoft.com/office/drawing/2014/chart" uri="{C3380CC4-5D6E-409C-BE32-E72D297353CC}">
              <c16:uniqueId val="{00000001-8E04-486D-B53E-7354911A0520}"/>
            </c:ext>
          </c:extLst>
        </c:ser>
        <c:dLbls>
          <c:showLegendKey val="0"/>
          <c:showVal val="0"/>
          <c:showCatName val="0"/>
          <c:showSerName val="0"/>
          <c:showPercent val="0"/>
          <c:showBubbleSize val="0"/>
        </c:dLbls>
        <c:hiLowLines>
          <c:spPr>
            <a:ln w="0">
              <a:noFill/>
            </a:ln>
          </c:spPr>
        </c:hiLowLines>
        <c:marker val="1"/>
        <c:smooth val="0"/>
        <c:axId val="27436686"/>
        <c:axId val="77932977"/>
      </c:lineChart>
      <c:catAx>
        <c:axId val="27436686"/>
        <c:scaling>
          <c:orientation val="minMax"/>
        </c:scaling>
        <c:delete val="0"/>
        <c:axPos val="b"/>
        <c:title>
          <c:tx>
            <c:rich>
              <a:bodyPr rot="0"/>
              <a:lstStyle/>
              <a:p>
                <a:pPr>
                  <a:defRPr sz="1000" b="1" strike="noStrike" spc="-1">
                    <a:solidFill>
                      <a:srgbClr val="000000"/>
                    </a:solidFill>
                    <a:latin typeface="Aptos Narrow"/>
                  </a:defRPr>
                </a:pPr>
                <a:r>
                  <a:rPr sz="1000" b="1" strike="noStrike" spc="-1">
                    <a:solidFill>
                      <a:srgbClr val="000000"/>
                    </a:solidFill>
                    <a:latin typeface="Aptos Narrow"/>
                  </a:rPr>
                  <a:t>Year</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77932977"/>
        <c:crosses val="autoZero"/>
        <c:auto val="1"/>
        <c:lblAlgn val="ctr"/>
        <c:lblOffset val="100"/>
        <c:noMultiLvlLbl val="0"/>
      </c:catAx>
      <c:valAx>
        <c:axId val="77932977"/>
        <c:scaling>
          <c:orientation val="minMax"/>
        </c:scaling>
        <c:delete val="0"/>
        <c:axPos val="l"/>
        <c:majorGridlines>
          <c:spPr>
            <a:ln w="12600">
              <a:solidFill>
                <a:srgbClr val="8B8B8B"/>
              </a:solidFill>
              <a:round/>
            </a:ln>
          </c:spPr>
        </c:majorGridlines>
        <c:title>
          <c:tx>
            <c:rich>
              <a:bodyPr rot="-5400000"/>
              <a:lstStyle/>
              <a:p>
                <a:pPr>
                  <a:defRPr sz="1000" b="1" strike="noStrike" spc="-1">
                    <a:solidFill>
                      <a:srgbClr val="000000"/>
                    </a:solidFill>
                    <a:latin typeface="Aptos Narrow"/>
                  </a:defRPr>
                </a:pPr>
                <a:r>
                  <a:rPr sz="1000" b="1" strike="noStrike" spc="-1">
                    <a:solidFill>
                      <a:srgbClr val="000000"/>
                    </a:solidFill>
                    <a:latin typeface="Aptos Narrow"/>
                  </a:rPr>
                  <a:t>%</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Aptos Narrow"/>
              </a:defRPr>
            </a:pPr>
            <a:endParaRPr lang="en-US"/>
          </a:p>
        </c:txPr>
        <c:crossAx val="274366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8</xdr:col>
      <xdr:colOff>96480</xdr:colOff>
      <xdr:row>35</xdr:row>
      <xdr:rowOff>1080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37</xdr:row>
      <xdr:rowOff>0</xdr:rowOff>
    </xdr:from>
    <xdr:to>
      <xdr:col>8</xdr:col>
      <xdr:colOff>96480</xdr:colOff>
      <xdr:row>54</xdr:row>
      <xdr:rowOff>1080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56</xdr:row>
      <xdr:rowOff>0</xdr:rowOff>
    </xdr:from>
    <xdr:to>
      <xdr:col>8</xdr:col>
      <xdr:colOff>96480</xdr:colOff>
      <xdr:row>73</xdr:row>
      <xdr:rowOff>1080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4" displayName="Table4" ref="B10:F27" totalsRowShown="0">
  <autoFilter ref="B10:F27" xr:uid="{00000000-0009-0000-0100-000001000000}"/>
  <tableColumns count="5">
    <tableColumn id="1" xr3:uid="{00000000-0010-0000-0000-000001000000}" name="Column1"/>
    <tableColumn id="2" xr3:uid="{00000000-0010-0000-0000-000002000000}" name="2022"/>
    <tableColumn id="3" xr3:uid="{00000000-0010-0000-0000-000003000000}" name="2023"/>
    <tableColumn id="4" xr3:uid="{00000000-0010-0000-0000-000004000000}" name="2024"/>
    <tableColumn id="5" xr3:uid="{00000000-0010-0000-0000-000005000000}" name="Averag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5"/>
  <sheetViews>
    <sheetView showGridLines="0" zoomScaleNormal="100" workbookViewId="0">
      <pane xSplit="1" ySplit="11" topLeftCell="B12" activePane="bottomRight" state="frozen"/>
      <selection pane="topRight" activeCell="B1" sqref="B1"/>
      <selection pane="bottomLeft" activeCell="A12" sqref="A12"/>
      <selection pane="bottomRight" activeCell="B3" sqref="B3:E3"/>
    </sheetView>
  </sheetViews>
  <sheetFormatPr defaultColWidth="8.54296875" defaultRowHeight="14.5" x14ac:dyDescent="0.35"/>
  <cols>
    <col min="1" max="1" width="2" customWidth="1"/>
    <col min="2" max="2" width="26" customWidth="1"/>
    <col min="3" max="3" width="24" customWidth="1"/>
    <col min="4" max="4" width="62" customWidth="1"/>
    <col min="5" max="5" width="12" customWidth="1"/>
  </cols>
  <sheetData>
    <row r="1" spans="2:5" ht="27.75" customHeight="1" x14ac:dyDescent="0.5">
      <c r="B1" s="11" t="s">
        <v>0</v>
      </c>
      <c r="C1" s="11"/>
      <c r="D1" s="11"/>
      <c r="E1" s="11"/>
    </row>
    <row r="3" spans="2:5" ht="39.75" customHeight="1" x14ac:dyDescent="0.35">
      <c r="B3" s="10" t="s">
        <v>179</v>
      </c>
      <c r="C3" s="10"/>
      <c r="D3" s="10"/>
      <c r="E3" s="10"/>
    </row>
    <row r="5" spans="2:5" x14ac:dyDescent="0.35">
      <c r="B5" s="9" t="s">
        <v>1</v>
      </c>
      <c r="C5" s="9"/>
      <c r="D5" s="9"/>
      <c r="E5" s="9"/>
    </row>
    <row r="6" spans="2:5" ht="30" customHeight="1" x14ac:dyDescent="0.35">
      <c r="B6" s="8" t="s">
        <v>2</v>
      </c>
      <c r="C6" s="8"/>
      <c r="D6" s="8"/>
      <c r="E6" s="8"/>
    </row>
    <row r="7" spans="2:5" ht="30" customHeight="1" x14ac:dyDescent="0.35">
      <c r="B7" s="8" t="s">
        <v>3</v>
      </c>
      <c r="C7" s="8"/>
      <c r="D7" s="8"/>
      <c r="E7" s="8"/>
    </row>
    <row r="8" spans="2:5" ht="30" customHeight="1" x14ac:dyDescent="0.35">
      <c r="B8" s="8" t="s">
        <v>4</v>
      </c>
      <c r="C8" s="8"/>
      <c r="D8" s="8"/>
      <c r="E8" s="8"/>
    </row>
    <row r="9" spans="2:5" ht="30" customHeight="1" x14ac:dyDescent="0.35">
      <c r="B9" s="8" t="s">
        <v>5</v>
      </c>
      <c r="C9" s="8"/>
      <c r="D9" s="8"/>
      <c r="E9" s="8"/>
    </row>
    <row r="11" spans="2:5" x14ac:dyDescent="0.35">
      <c r="B11" s="12" t="s">
        <v>6</v>
      </c>
      <c r="C11" s="12" t="s">
        <v>7</v>
      </c>
      <c r="D11" s="12" t="s">
        <v>8</v>
      </c>
      <c r="E11" s="12" t="s">
        <v>9</v>
      </c>
    </row>
    <row r="12" spans="2:5" ht="60" customHeight="1" x14ac:dyDescent="0.35">
      <c r="B12" s="13" t="s">
        <v>10</v>
      </c>
      <c r="C12" s="13" t="s">
        <v>11</v>
      </c>
      <c r="D12" s="13" t="s">
        <v>12</v>
      </c>
      <c r="E12" s="13" t="s">
        <v>13</v>
      </c>
    </row>
    <row r="13" spans="2:5" ht="60" customHeight="1" x14ac:dyDescent="0.35">
      <c r="B13" s="13" t="s">
        <v>14</v>
      </c>
      <c r="C13" s="13" t="s">
        <v>15</v>
      </c>
      <c r="D13" s="13" t="s">
        <v>16</v>
      </c>
      <c r="E13" s="13" t="s">
        <v>17</v>
      </c>
    </row>
    <row r="14" spans="2:5" ht="60" customHeight="1" x14ac:dyDescent="0.35">
      <c r="B14" s="13" t="s">
        <v>18</v>
      </c>
      <c r="C14" s="13" t="s">
        <v>19</v>
      </c>
      <c r="D14" s="13" t="s">
        <v>20</v>
      </c>
      <c r="E14" s="13" t="s">
        <v>13</v>
      </c>
    </row>
    <row r="15" spans="2:5" ht="60" customHeight="1" x14ac:dyDescent="0.35">
      <c r="B15" s="13" t="s">
        <v>21</v>
      </c>
      <c r="C15" s="13" t="s">
        <v>22</v>
      </c>
      <c r="D15" s="13" t="s">
        <v>23</v>
      </c>
      <c r="E15" s="13" t="s">
        <v>13</v>
      </c>
    </row>
    <row r="16" spans="2:5" ht="60" customHeight="1" x14ac:dyDescent="0.35">
      <c r="B16" s="13" t="s">
        <v>24</v>
      </c>
      <c r="C16" s="13" t="s">
        <v>25</v>
      </c>
      <c r="D16" s="13" t="s">
        <v>26</v>
      </c>
      <c r="E16" s="13" t="s">
        <v>13</v>
      </c>
    </row>
    <row r="17" spans="2:5" ht="60" customHeight="1" x14ac:dyDescent="0.35">
      <c r="B17" s="13" t="s">
        <v>27</v>
      </c>
      <c r="C17" s="13" t="s">
        <v>28</v>
      </c>
      <c r="D17" s="13" t="s">
        <v>29</v>
      </c>
      <c r="E17" s="13" t="s">
        <v>30</v>
      </c>
    </row>
    <row r="18" spans="2:5" ht="60" customHeight="1" x14ac:dyDescent="0.35">
      <c r="B18" s="13" t="s">
        <v>31</v>
      </c>
      <c r="C18" s="13" t="s">
        <v>32</v>
      </c>
      <c r="D18" s="13" t="s">
        <v>33</v>
      </c>
      <c r="E18" s="13" t="s">
        <v>30</v>
      </c>
    </row>
    <row r="19" spans="2:5" ht="60" customHeight="1" x14ac:dyDescent="0.35">
      <c r="B19" s="13" t="s">
        <v>34</v>
      </c>
      <c r="C19" s="13" t="s">
        <v>35</v>
      </c>
      <c r="D19" s="13" t="s">
        <v>36</v>
      </c>
      <c r="E19" s="13" t="s">
        <v>37</v>
      </c>
    </row>
    <row r="20" spans="2:5" ht="60" customHeight="1" x14ac:dyDescent="0.35">
      <c r="B20" s="13" t="s">
        <v>38</v>
      </c>
      <c r="C20" s="13" t="s">
        <v>39</v>
      </c>
      <c r="D20" s="13" t="s">
        <v>40</v>
      </c>
      <c r="E20" s="13" t="s">
        <v>41</v>
      </c>
    </row>
    <row r="21" spans="2:5" ht="60" customHeight="1" x14ac:dyDescent="0.35">
      <c r="B21" s="13" t="s">
        <v>42</v>
      </c>
      <c r="C21" s="13" t="s">
        <v>43</v>
      </c>
      <c r="D21" s="13" t="s">
        <v>44</v>
      </c>
      <c r="E21" s="13" t="s">
        <v>45</v>
      </c>
    </row>
    <row r="22" spans="2:5" ht="60" customHeight="1" x14ac:dyDescent="0.35">
      <c r="B22" s="13" t="s">
        <v>46</v>
      </c>
      <c r="C22" s="13" t="s">
        <v>47</v>
      </c>
      <c r="D22" s="13" t="s">
        <v>48</v>
      </c>
      <c r="E22" s="13" t="s">
        <v>30</v>
      </c>
    </row>
    <row r="23" spans="2:5" ht="60" customHeight="1" x14ac:dyDescent="0.35">
      <c r="B23" s="13" t="s">
        <v>49</v>
      </c>
      <c r="C23" s="13" t="s">
        <v>50</v>
      </c>
      <c r="D23" s="13" t="s">
        <v>51</v>
      </c>
      <c r="E23" s="13" t="s">
        <v>30</v>
      </c>
    </row>
    <row r="24" spans="2:5" ht="60" customHeight="1" x14ac:dyDescent="0.35">
      <c r="B24" s="13" t="s">
        <v>52</v>
      </c>
      <c r="C24" s="13" t="s">
        <v>53</v>
      </c>
      <c r="D24" s="13" t="s">
        <v>54</v>
      </c>
      <c r="E24" s="13" t="s">
        <v>41</v>
      </c>
    </row>
    <row r="25" spans="2:5" ht="60" customHeight="1" x14ac:dyDescent="0.35">
      <c r="B25" s="13" t="s">
        <v>55</v>
      </c>
      <c r="C25" s="13" t="s">
        <v>56</v>
      </c>
      <c r="D25" s="13" t="s">
        <v>57</v>
      </c>
      <c r="E25" s="13" t="s">
        <v>30</v>
      </c>
    </row>
  </sheetData>
  <mergeCells count="7">
    <mergeCell ref="B8:E8"/>
    <mergeCell ref="B9:E9"/>
    <mergeCell ref="B1:E1"/>
    <mergeCell ref="B3:E3"/>
    <mergeCell ref="B5:E5"/>
    <mergeCell ref="B6:E6"/>
    <mergeCell ref="B7:E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16"/>
  <sheetViews>
    <sheetView showGridLines="0" zoomScaleNormal="100" workbookViewId="0">
      <selection activeCell="B4" sqref="B4"/>
    </sheetView>
  </sheetViews>
  <sheetFormatPr defaultColWidth="8.54296875" defaultRowHeight="14.5" x14ac:dyDescent="0.35"/>
  <cols>
    <col min="1" max="1" width="2" customWidth="1"/>
    <col min="2" max="2" width="16" customWidth="1"/>
    <col min="3" max="11" width="12" customWidth="1"/>
    <col min="12" max="12" width="4" customWidth="1"/>
  </cols>
  <sheetData>
    <row r="1" spans="2:11" ht="27.75" customHeight="1" x14ac:dyDescent="0.5">
      <c r="B1" s="11" t="s">
        <v>58</v>
      </c>
      <c r="C1" s="11"/>
      <c r="D1" s="11"/>
      <c r="E1" s="11"/>
      <c r="F1" s="11"/>
      <c r="G1" s="11"/>
      <c r="H1" s="11"/>
      <c r="I1" s="11"/>
      <c r="J1" s="11"/>
      <c r="K1" s="11"/>
    </row>
    <row r="3" spans="2:11" ht="15.75" customHeight="1" x14ac:dyDescent="0.35">
      <c r="B3" s="14" t="s">
        <v>59</v>
      </c>
      <c r="D3" s="14" t="s">
        <v>60</v>
      </c>
      <c r="F3" s="14" t="s">
        <v>61</v>
      </c>
      <c r="H3" s="14" t="s">
        <v>62</v>
      </c>
      <c r="J3" s="14" t="s">
        <v>63</v>
      </c>
    </row>
    <row r="4" spans="2:11" ht="25.5" customHeight="1" x14ac:dyDescent="0.55000000000000004">
      <c r="B4" s="15" t="str">
        <f>Data!$C$45</f>
        <v>Base</v>
      </c>
      <c r="D4" s="16">
        <f>'Income Statement'!K11</f>
        <v>3454883557.4678707</v>
      </c>
      <c r="F4" s="17">
        <f>Insights!D6</f>
        <v>-0.41618226659043311</v>
      </c>
      <c r="H4" s="17">
        <f>Insights!D7</f>
        <v>-0.33687587654871676</v>
      </c>
      <c r="J4" s="17">
        <f>Insights!D5</f>
        <v>5.4513134366814153E-2</v>
      </c>
    </row>
    <row r="7" spans="2:11" x14ac:dyDescent="0.35">
      <c r="B7" s="18" t="s">
        <v>64</v>
      </c>
    </row>
    <row r="8" spans="2:11" x14ac:dyDescent="0.35">
      <c r="B8" s="19" t="s">
        <v>65</v>
      </c>
      <c r="C8" s="20">
        <f>'Income Statement'!C5</f>
        <v>2022</v>
      </c>
      <c r="D8" s="20">
        <f>'Income Statement'!D5</f>
        <v>2023</v>
      </c>
      <c r="E8" s="20">
        <f>'Income Statement'!E5</f>
        <v>2024</v>
      </c>
      <c r="F8" s="20">
        <f>'Income Statement'!F5</f>
        <v>2025</v>
      </c>
      <c r="G8" s="20">
        <f>'Income Statement'!G5</f>
        <v>2026</v>
      </c>
      <c r="H8" s="20">
        <f>'Income Statement'!H5</f>
        <v>2027</v>
      </c>
      <c r="I8" s="20">
        <f>'Income Statement'!I5</f>
        <v>2028</v>
      </c>
      <c r="J8" s="20">
        <f>'Income Statement'!J5</f>
        <v>2029</v>
      </c>
      <c r="K8" s="20">
        <f>'Income Statement'!K5</f>
        <v>2030</v>
      </c>
    </row>
    <row r="9" spans="2:11" x14ac:dyDescent="0.35">
      <c r="B9" s="19" t="s">
        <v>66</v>
      </c>
      <c r="C9" s="21">
        <f>'Income Statement'!C7</f>
        <v>2137762000</v>
      </c>
      <c r="D9" s="21">
        <f>'Income Statement'!D7</f>
        <v>2324387000</v>
      </c>
      <c r="E9" s="21">
        <f>'Income Statement'!E7</f>
        <v>2217059000</v>
      </c>
      <c r="F9" s="21">
        <f>'Income Statement'!F7</f>
        <v>2111425707.0243332</v>
      </c>
      <c r="G9" s="21">
        <f>'Income Statement'!G7</f>
        <v>2187560878.2710605</v>
      </c>
      <c r="H9" s="21">
        <f>'Income Statement'!H7</f>
        <v>2266441381.3954301</v>
      </c>
      <c r="I9" s="21">
        <f>'Income Statement'!I7</f>
        <v>2348166209.3726339</v>
      </c>
      <c r="J9" s="21">
        <f>'Income Statement'!J7</f>
        <v>2432837924.7314086</v>
      </c>
      <c r="K9" s="21">
        <f>'Income Statement'!K7</f>
        <v>2520562788.2673354</v>
      </c>
    </row>
    <row r="10" spans="2:11" x14ac:dyDescent="0.35">
      <c r="B10" s="19" t="s">
        <v>67</v>
      </c>
      <c r="C10" s="21">
        <f>'Income Statement'!C8</f>
        <v>100959000</v>
      </c>
      <c r="D10" s="21">
        <f>'Income Statement'!D8</f>
        <v>112579000</v>
      </c>
      <c r="E10" s="21">
        <f>'Income Statement'!E8</f>
        <v>142128000</v>
      </c>
      <c r="F10" s="21">
        <f>'Income Statement'!F8</f>
        <v>169355121.43638408</v>
      </c>
      <c r="G10" s="21">
        <f>'Income Statement'!G8</f>
        <v>201798077.48460823</v>
      </c>
      <c r="H10" s="21">
        <f>'Income Statement'!H8</f>
        <v>240456053.12137422</v>
      </c>
      <c r="I10" s="21">
        <f>'Income Statement'!I8</f>
        <v>286519644.80245948</v>
      </c>
      <c r="J10" s="21">
        <f>'Income Statement'!J8</f>
        <v>341407528.70250875</v>
      </c>
      <c r="K10" s="21">
        <f>'Income Statement'!K8</f>
        <v>406810153.40192753</v>
      </c>
    </row>
    <row r="11" spans="2:11" x14ac:dyDescent="0.35">
      <c r="B11" s="19" t="s">
        <v>68</v>
      </c>
      <c r="C11" s="21">
        <f>'Income Statement'!C9</f>
        <v>60937000</v>
      </c>
      <c r="D11" s="21">
        <f>'Income Statement'!D9</f>
        <v>68548000</v>
      </c>
      <c r="E11" s="21">
        <f>'Income Statement'!E9</f>
        <v>80660000</v>
      </c>
      <c r="F11" s="21">
        <f>'Income Statement'!F9</f>
        <v>92823253.354186222</v>
      </c>
      <c r="G11" s="21">
        <f>'Income Statement'!G9</f>
        <v>106820683.89853017</v>
      </c>
      <c r="H11" s="21">
        <f>'Income Statement'!H9</f>
        <v>122928879.30796809</v>
      </c>
      <c r="I11" s="21">
        <f>'Income Statement'!I9</f>
        <v>141466135.7370407</v>
      </c>
      <c r="J11" s="21">
        <f>'Income Statement'!J9</f>
        <v>162798747.31660089</v>
      </c>
      <c r="K11" s="21">
        <f>'Income Statement'!K9</f>
        <v>187348244.0852094</v>
      </c>
    </row>
    <row r="12" spans="2:11" x14ac:dyDescent="0.35">
      <c r="B12" s="19" t="s">
        <v>69</v>
      </c>
      <c r="C12" s="21">
        <f>'Income Statement'!C10</f>
        <v>2171000</v>
      </c>
      <c r="D12" s="21">
        <f>'Income Statement'!D10</f>
        <v>4333000</v>
      </c>
      <c r="E12" s="21">
        <f>'Income Statement'!E10</f>
        <v>72742000</v>
      </c>
      <c r="F12" s="21">
        <f>'Income Statement'!F10</f>
        <v>120730305.66221493</v>
      </c>
      <c r="G12" s="21">
        <f>'Income Statement'!G10</f>
        <v>176088673.06598061</v>
      </c>
      <c r="H12" s="21">
        <f>'Income Statement'!H10</f>
        <v>230261797.98409635</v>
      </c>
      <c r="I12" s="21">
        <f>'Income Statement'!I10</f>
        <v>277939489.78283036</v>
      </c>
      <c r="J12" s="21">
        <f>'Income Statement'!J10</f>
        <v>313123308.39614075</v>
      </c>
      <c r="K12" s="21">
        <f>'Income Statement'!K10</f>
        <v>340162371.71339869</v>
      </c>
    </row>
    <row r="13" spans="2:11" x14ac:dyDescent="0.35">
      <c r="B13" s="19" t="s">
        <v>70</v>
      </c>
      <c r="C13" s="21">
        <f>'Income Statement'!C25</f>
        <v>91646000</v>
      </c>
      <c r="D13" s="21">
        <f>'Income Statement'!D25</f>
        <v>220971000</v>
      </c>
      <c r="E13" s="21">
        <f>'Income Statement'!E25</f>
        <v>-239976000</v>
      </c>
      <c r="F13" s="21">
        <f>'Income Statement'!F25</f>
        <v>-83279048.213210583</v>
      </c>
      <c r="G13" s="21">
        <f>'Income Statement'!G25</f>
        <v>-224467653.93647146</v>
      </c>
      <c r="H13" s="21">
        <f>'Income Statement'!H25</f>
        <v>-414628292.2356782</v>
      </c>
      <c r="I13" s="21">
        <f>'Income Statement'!I25</f>
        <v>-669217248.35356808</v>
      </c>
      <c r="J13" s="21">
        <f>'Income Statement'!J25</f>
        <v>-1006576100.4862747</v>
      </c>
      <c r="K13" s="21">
        <f>'Income Statement'!K25</f>
        <v>-1437861269.7529974</v>
      </c>
    </row>
    <row r="14" spans="2:11" x14ac:dyDescent="0.35">
      <c r="B14" s="19" t="s">
        <v>71</v>
      </c>
      <c r="C14" s="21">
        <f>'Income Statement'!C33</f>
        <v>2676000</v>
      </c>
      <c r="D14" s="21">
        <f>'Income Statement'!D33</f>
        <v>118571000</v>
      </c>
      <c r="E14" s="21">
        <f>'Income Statement'!E33</f>
        <v>-237386000</v>
      </c>
      <c r="F14" s="21">
        <f>'Income Statement'!F33</f>
        <v>-116378039.11780635</v>
      </c>
      <c r="G14" s="21">
        <f>'Income Statement'!G33</f>
        <v>-227018582.84498721</v>
      </c>
      <c r="H14" s="21">
        <f>'Income Statement'!H33</f>
        <v>-375004975.64751518</v>
      </c>
      <c r="I14" s="21">
        <f>'Income Statement'!I33</f>
        <v>-572088835.34163642</v>
      </c>
      <c r="J14" s="21">
        <f>'Income Statement'!J33</f>
        <v>-832214786.76892138</v>
      </c>
      <c r="K14" s="21">
        <f>'Income Statement'!K33</f>
        <v>-1163866926.7957377</v>
      </c>
    </row>
    <row r="15" spans="2:11" x14ac:dyDescent="0.35">
      <c r="B15" s="19" t="s">
        <v>72</v>
      </c>
      <c r="C15" s="22">
        <f>'Income Statement'!C25/'Income Statement'!C11</f>
        <v>3.9814425832674798E-2</v>
      </c>
      <c r="D15" s="22">
        <f>'Income Statement'!D25/'Income Statement'!D11</f>
        <v>8.8041621660603211E-2</v>
      </c>
      <c r="E15" s="22">
        <f>'Income Statement'!E25/'Income Statement'!E11</f>
        <v>-9.5509452600485004E-2</v>
      </c>
      <c r="F15" s="22">
        <f>'Income Statement'!F25/'Income Statement'!F11</f>
        <v>-3.338728304886289E-2</v>
      </c>
      <c r="G15" s="22">
        <f>'Income Statement'!G25/'Income Statement'!G11</f>
        <v>-8.399892064280752E-2</v>
      </c>
      <c r="H15" s="22">
        <f>'Income Statement'!H25/'Income Statement'!H11</f>
        <v>-0.14497046105808456</v>
      </c>
      <c r="I15" s="22">
        <f>'Income Statement'!I25/'Income Statement'!I11</f>
        <v>-0.21912154655577243</v>
      </c>
      <c r="J15" s="22">
        <f>'Income Statement'!J25/'Income Statement'!J11</f>
        <v>-0.3096997609057246</v>
      </c>
      <c r="K15" s="22">
        <f>'Income Statement'!K25/'Income Statement'!K11</f>
        <v>-0.41618226659043311</v>
      </c>
    </row>
    <row r="16" spans="2:11" x14ac:dyDescent="0.35">
      <c r="B16" s="19" t="s">
        <v>73</v>
      </c>
      <c r="C16" s="22">
        <f>'Income Statement'!C33/'Income Statement'!C11</f>
        <v>1.1625537778870629E-3</v>
      </c>
      <c r="D16" s="22">
        <f>'Income Statement'!D33/'Income Statement'!D11</f>
        <v>4.7242321942333534E-2</v>
      </c>
      <c r="E16" s="22">
        <f>'Income Statement'!E33/'Income Statement'!E11</f>
        <v>-9.4478643343579069E-2</v>
      </c>
      <c r="F16" s="22">
        <f>'Income Statement'!F33/'Income Statement'!F11</f>
        <v>-4.6656951731125482E-2</v>
      </c>
      <c r="G16" s="22">
        <f>'Income Statement'!G33/'Income Statement'!G11</f>
        <v>-8.495351374873672E-2</v>
      </c>
      <c r="H16" s="22">
        <f>'Income Statement'!H33/'Income Statement'!H11</f>
        <v>-0.13111658137355162</v>
      </c>
      <c r="I16" s="22">
        <f>'Income Statement'!I33/'Income Statement'!I11</f>
        <v>-0.18731882759411494</v>
      </c>
      <c r="J16" s="22">
        <f>'Income Statement'!J33/'Income Statement'!J11</f>
        <v>-0.25605289094389533</v>
      </c>
      <c r="K16" s="22">
        <f>'Income Statement'!K33/'Income Statement'!K11</f>
        <v>-0.33687587654871676</v>
      </c>
    </row>
  </sheetData>
  <mergeCells count="1">
    <mergeCell ref="B1:K1"/>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58"/>
  <sheetViews>
    <sheetView zoomScaleNormal="100" workbookViewId="0">
      <selection activeCell="C45" sqref="C45"/>
    </sheetView>
  </sheetViews>
  <sheetFormatPr defaultColWidth="8.54296875" defaultRowHeight="14.5" x14ac:dyDescent="0.35"/>
  <cols>
    <col min="1" max="1" width="3" customWidth="1"/>
    <col min="2" max="2" width="34" customWidth="1"/>
    <col min="3" max="6" width="16" customWidth="1"/>
    <col min="7" max="7" width="26" customWidth="1"/>
    <col min="8" max="8" width="18" customWidth="1"/>
    <col min="9" max="26" width="16" customWidth="1"/>
  </cols>
  <sheetData>
    <row r="1" spans="2:8" ht="18" customHeight="1" x14ac:dyDescent="0.45">
      <c r="B1" s="7" t="s">
        <v>74</v>
      </c>
      <c r="C1" s="7"/>
      <c r="D1" s="7"/>
      <c r="E1" s="7"/>
      <c r="F1" s="7"/>
      <c r="G1" s="7"/>
      <c r="H1" s="7"/>
    </row>
    <row r="2" spans="2:8" x14ac:dyDescent="0.35">
      <c r="B2" s="23" t="s">
        <v>75</v>
      </c>
      <c r="C2" s="24">
        <v>120</v>
      </c>
    </row>
    <row r="3" spans="2:8" x14ac:dyDescent="0.35">
      <c r="B3" s="25" t="s">
        <v>76</v>
      </c>
      <c r="C3" s="26">
        <v>0.03</v>
      </c>
    </row>
    <row r="4" spans="2:8" x14ac:dyDescent="0.35">
      <c r="B4" s="25" t="s">
        <v>77</v>
      </c>
      <c r="C4" s="24">
        <v>2.2999999999999998</v>
      </c>
    </row>
    <row r="5" spans="2:8" x14ac:dyDescent="0.35">
      <c r="B5" s="25" t="s">
        <v>78</v>
      </c>
      <c r="C5" s="27">
        <v>40</v>
      </c>
    </row>
    <row r="6" spans="2:8" x14ac:dyDescent="0.35">
      <c r="C6" s="28"/>
    </row>
    <row r="10" spans="2:8" x14ac:dyDescent="0.35">
      <c r="B10" s="29" t="s">
        <v>79</v>
      </c>
      <c r="C10" s="29" t="s">
        <v>80</v>
      </c>
      <c r="D10" s="29" t="s">
        <v>81</v>
      </c>
      <c r="E10" s="29" t="s">
        <v>82</v>
      </c>
      <c r="F10" s="29" t="s">
        <v>83</v>
      </c>
      <c r="G10" s="30"/>
      <c r="H10" s="29" t="s">
        <v>84</v>
      </c>
    </row>
    <row r="11" spans="2:8" ht="19.5" customHeight="1" x14ac:dyDescent="0.35">
      <c r="B11" s="31" t="s">
        <v>85</v>
      </c>
      <c r="C11" s="32"/>
    </row>
    <row r="12" spans="2:8" ht="15" customHeight="1" x14ac:dyDescent="0.35">
      <c r="B12" s="33" t="s">
        <v>86</v>
      </c>
      <c r="C12" s="34">
        <f>(2137762)*1000</f>
        <v>2137762000</v>
      </c>
      <c r="D12" s="34">
        <f>(2324387)*1000</f>
        <v>2324387000</v>
      </c>
      <c r="E12" s="34">
        <f>(2217059)*1000</f>
        <v>2217059000</v>
      </c>
      <c r="F12" s="35">
        <f>AVERAGE(Table4[[#This Row],[2022]:[2024]])</f>
        <v>2226402666.6666665</v>
      </c>
    </row>
    <row r="13" spans="2:8" x14ac:dyDescent="0.35">
      <c r="B13" s="33" t="s">
        <v>67</v>
      </c>
      <c r="C13" s="34">
        <f>(100959)*1000</f>
        <v>100959000</v>
      </c>
      <c r="D13" s="34">
        <f>(112579)*1000</f>
        <v>112579000</v>
      </c>
      <c r="E13" s="34">
        <f>(142128)*1000</f>
        <v>142128000</v>
      </c>
      <c r="F13" s="35">
        <f>AVERAGE(Table4[[#This Row],[2022]:[2024]])</f>
        <v>118555333.33333333</v>
      </c>
    </row>
    <row r="14" spans="2:8" x14ac:dyDescent="0.35">
      <c r="B14" s="33" t="s">
        <v>68</v>
      </c>
      <c r="C14" s="34">
        <f>(60937)*1000</f>
        <v>60937000</v>
      </c>
      <c r="D14" s="34">
        <f>(68548)*1000</f>
        <v>68548000</v>
      </c>
      <c r="E14" s="34">
        <f>(80660)*1000</f>
        <v>80660000</v>
      </c>
      <c r="F14" s="35">
        <f>AVERAGE(Table4[[#This Row],[2022]:[2024]])</f>
        <v>70048333.333333328</v>
      </c>
      <c r="G14" s="36" t="s">
        <v>87</v>
      </c>
      <c r="H14" s="37">
        <f>AVERAGE((Table4[[#This Row],[2023]]/Table4[[#This Row],[2022]])-1,(Table4[[#This Row],[2024]]/Table4[[#This Row],[2023]])-1)</f>
        <v>0.15079659501842568</v>
      </c>
    </row>
    <row r="15" spans="2:8" x14ac:dyDescent="0.35">
      <c r="B15" s="33" t="s">
        <v>69</v>
      </c>
      <c r="C15" s="34">
        <f>(2171)*1000</f>
        <v>2171000</v>
      </c>
      <c r="D15" s="34">
        <f>(4333)*1000</f>
        <v>4333000</v>
      </c>
      <c r="E15" s="34">
        <f>(72742)*1000</f>
        <v>72742000</v>
      </c>
      <c r="F15" s="35">
        <f>AVERAGE(Table4[[#This Row],[2022]:[2024]])</f>
        <v>26415333.333333332</v>
      </c>
      <c r="H15" s="38"/>
    </row>
    <row r="16" spans="2:8" x14ac:dyDescent="0.35">
      <c r="C16" s="39"/>
      <c r="D16" s="39"/>
      <c r="E16" s="39"/>
      <c r="F16" s="39"/>
      <c r="H16" s="38"/>
    </row>
    <row r="17" spans="2:8" x14ac:dyDescent="0.35">
      <c r="C17" s="39"/>
      <c r="D17" s="39"/>
      <c r="E17" s="39"/>
      <c r="F17" s="39"/>
      <c r="H17" s="38"/>
    </row>
    <row r="18" spans="2:8" ht="19.5" customHeight="1" x14ac:dyDescent="0.35">
      <c r="B18" s="31" t="s">
        <v>88</v>
      </c>
      <c r="C18" s="39"/>
      <c r="D18" s="39"/>
      <c r="E18" s="39"/>
      <c r="F18" s="39"/>
      <c r="H18" s="38"/>
    </row>
    <row r="19" spans="2:8" ht="15" customHeight="1" x14ac:dyDescent="0.35">
      <c r="B19" s="33" t="s">
        <v>89</v>
      </c>
      <c r="C19" s="34">
        <f>(552413)*1000</f>
        <v>552413000</v>
      </c>
      <c r="D19" s="34">
        <f>(687803)*1000</f>
        <v>687803000</v>
      </c>
      <c r="E19" s="34">
        <f>(819843)*1000</f>
        <v>819843000</v>
      </c>
      <c r="F19" s="35">
        <f>AVERAGE(Table4[[#This Row],[2022]:[2024]])</f>
        <v>686686333.33333337</v>
      </c>
      <c r="G19" s="36" t="s">
        <v>90</v>
      </c>
      <c r="H19" s="37">
        <f>AVERAGE((Table4[[#This Row],[2023]]/Table4[[#This Row],[2022]])-1,(Table4[[#This Row],[2024]]/Table4[[#This Row],[2023]])-1)</f>
        <v>0.21853097034225499</v>
      </c>
    </row>
    <row r="20" spans="2:8" x14ac:dyDescent="0.35">
      <c r="B20" s="33" t="s">
        <v>91</v>
      </c>
      <c r="C20" s="34">
        <f>(814803)*1000</f>
        <v>814803000</v>
      </c>
      <c r="D20" s="34">
        <f>(695871)*1000</f>
        <v>695871000</v>
      </c>
      <c r="E20" s="34">
        <f>(627755)*1000</f>
        <v>627755000</v>
      </c>
      <c r="F20" s="35">
        <f>AVERAGE(Table4[[#This Row],[2022]:[2024]])</f>
        <v>712809666.66666663</v>
      </c>
      <c r="H20" s="38"/>
    </row>
    <row r="21" spans="2:8" x14ac:dyDescent="0.35">
      <c r="B21" s="33" t="s">
        <v>92</v>
      </c>
      <c r="C21" s="34">
        <f>(255168)*1000</f>
        <v>255168000</v>
      </c>
      <c r="D21" s="34">
        <f>(256560)*1000</f>
        <v>256560000</v>
      </c>
      <c r="E21" s="34">
        <f>(272843)*1000</f>
        <v>272843000</v>
      </c>
      <c r="F21" s="35">
        <f>AVERAGE(Table4[[#This Row],[2022]:[2024]])</f>
        <v>261523666.66666666</v>
      </c>
      <c r="G21" s="36" t="s">
        <v>93</v>
      </c>
      <c r="H21" s="37">
        <f>AVERAGE((Table4[[#This Row],[2023]]/Table4[[#This Row],[2022]])-1,(Table4[[#This Row],[2024]]/Table4[[#This Row],[2023]])-1)</f>
        <v>3.4460932490369189E-2</v>
      </c>
    </row>
    <row r="22" spans="2:8" x14ac:dyDescent="0.35">
      <c r="B22" s="33" t="s">
        <v>94</v>
      </c>
      <c r="C22" s="34">
        <f>(197542)*1000</f>
        <v>197542000</v>
      </c>
      <c r="D22" s="34">
        <f>(223130)*1000</f>
        <v>223130000</v>
      </c>
      <c r="E22" s="34">
        <f>(258251)*1000</f>
        <v>258251000</v>
      </c>
      <c r="F22" s="35">
        <f>AVERAGE(Table4[[#This Row],[2022]:[2024]])</f>
        <v>226307666.66666666</v>
      </c>
      <c r="G22" s="36" t="s">
        <v>95</v>
      </c>
      <c r="H22" s="37">
        <f>AVERAGE((Table4[[#This Row],[2023]]/Table4[[#This Row],[2022]])-1,(Table4[[#This Row],[2024]]/Table4[[#This Row],[2023]])-1)</f>
        <v>0.14346673122422249</v>
      </c>
    </row>
    <row r="23" spans="2:8" x14ac:dyDescent="0.35">
      <c r="B23" s="33" t="s">
        <v>96</v>
      </c>
      <c r="C23" s="34">
        <f>(117814)*1000</f>
        <v>117814000</v>
      </c>
      <c r="D23" s="34">
        <f>(123802)*1000</f>
        <v>123802000</v>
      </c>
      <c r="E23" s="34">
        <f>(125430)*1000</f>
        <v>125430000</v>
      </c>
      <c r="F23" s="35">
        <f>AVERAGE(Table4[[#This Row],[2022]:[2024]])</f>
        <v>122348666.66666667</v>
      </c>
      <c r="G23" s="36" t="s">
        <v>97</v>
      </c>
      <c r="H23" s="37">
        <f>AVERAGE((Table4[[#This Row],[2023]]/Table4[[#This Row],[2022]])-1,(Table4[[#This Row],[2024]]/Table4[[#This Row],[2023]])-1)</f>
        <v>3.1987953982718698E-2</v>
      </c>
    </row>
    <row r="24" spans="2:8" x14ac:dyDescent="0.35">
      <c r="B24" s="33" t="s">
        <v>98</v>
      </c>
      <c r="C24" s="34">
        <f>(100678)*1000</f>
        <v>100678000</v>
      </c>
      <c r="D24" s="34">
        <f>(114616)*1000</f>
        <v>114616000</v>
      </c>
      <c r="E24" s="34">
        <f>(106340)*1000</f>
        <v>106340000</v>
      </c>
      <c r="F24" s="35">
        <f>AVERAGE(Table4[[#This Row],[2022]:[2024]])</f>
        <v>107211333.33333333</v>
      </c>
      <c r="H24" s="38"/>
    </row>
    <row r="25" spans="2:8" x14ac:dyDescent="0.35">
      <c r="B25" s="33" t="s">
        <v>99</v>
      </c>
      <c r="C25" s="34">
        <f>(23621)*1000</f>
        <v>23621000</v>
      </c>
      <c r="D25" s="34">
        <f>(24948)*1000</f>
        <v>24948000</v>
      </c>
      <c r="E25" s="34">
        <f>(23573)*1000</f>
        <v>23573000</v>
      </c>
      <c r="F25" s="35">
        <f>AVERAGE(Table4[[#This Row],[2022]:[2024]])</f>
        <v>24047333.333333332</v>
      </c>
      <c r="H25" s="38"/>
    </row>
    <row r="26" spans="2:8" x14ac:dyDescent="0.35">
      <c r="B26" s="33" t="s">
        <v>100</v>
      </c>
      <c r="C26" s="34">
        <f>(113532)*1000</f>
        <v>113532000</v>
      </c>
      <c r="D26" s="34">
        <f>(133501)*1000</f>
        <v>133501000</v>
      </c>
      <c r="E26" s="34">
        <f>(150399)*1000</f>
        <v>150399000</v>
      </c>
      <c r="F26" s="35">
        <f>AVERAGE(Table4[[#This Row],[2022]:[2024]])</f>
        <v>132477333.33333333</v>
      </c>
      <c r="G26" s="36" t="s">
        <v>101</v>
      </c>
      <c r="H26" s="37">
        <f>AVERAGE((Table4[[#This Row],[2023]]/Table4[[#This Row],[2022]])-1,(Table4[[#This Row],[2024]]/Table4[[#This Row],[2023]])-1)</f>
        <v>0.15123228355399632</v>
      </c>
    </row>
    <row r="27" spans="2:8" x14ac:dyDescent="0.35">
      <c r="B27" s="33" t="s">
        <v>102</v>
      </c>
      <c r="C27" s="34">
        <f>(34612)*1000</f>
        <v>34612000</v>
      </c>
      <c r="D27" s="34">
        <f>(28645)*1000</f>
        <v>28645000</v>
      </c>
      <c r="E27" s="34">
        <f>(368131)*1000</f>
        <v>368131000</v>
      </c>
      <c r="F27" s="35">
        <f>AVERAGE(Table4[[#This Row],[2022]:[2024]])</f>
        <v>143796000</v>
      </c>
      <c r="H27" s="38"/>
    </row>
    <row r="28" spans="2:8" x14ac:dyDescent="0.35">
      <c r="H28" s="38"/>
    </row>
    <row r="29" spans="2:8" x14ac:dyDescent="0.35">
      <c r="B29" s="33" t="s">
        <v>103</v>
      </c>
      <c r="C29" s="40">
        <v>16796544</v>
      </c>
      <c r="D29" s="40">
        <v>17342236</v>
      </c>
      <c r="E29" s="40">
        <v>16982836</v>
      </c>
      <c r="F29" s="41"/>
      <c r="G29" s="36" t="s">
        <v>104</v>
      </c>
      <c r="H29" s="37">
        <f>AVERAGE(($D29/$C29)-1,($E29/$D29)-1)</f>
        <v>5.8821893751093146E-3</v>
      </c>
    </row>
    <row r="30" spans="2:8" x14ac:dyDescent="0.35">
      <c r="B30" s="33" t="s">
        <v>105</v>
      </c>
      <c r="C30" s="42">
        <f>(C$13)/C$29</f>
        <v>6.0107007727303898</v>
      </c>
      <c r="D30" s="42">
        <f>(D$13)/D$29</f>
        <v>6.4916081178920644</v>
      </c>
      <c r="E30" s="42">
        <f>(E$13)/E$29</f>
        <v>8.3689202439451211</v>
      </c>
      <c r="F30" s="43"/>
      <c r="G30" s="36" t="s">
        <v>106</v>
      </c>
      <c r="H30" s="37">
        <f>AVERAGE(($D30/$C30)-1,($E30/$D30)-1)</f>
        <v>0.18459957212504408</v>
      </c>
    </row>
    <row r="31" spans="2:8" x14ac:dyDescent="0.35">
      <c r="B31" s="33" t="s">
        <v>107</v>
      </c>
      <c r="C31" s="44">
        <f>C$15/C$29</f>
        <v>0.12925277961942647</v>
      </c>
      <c r="D31" s="44">
        <f>D$15/D$29</f>
        <v>0.24985244117309902</v>
      </c>
      <c r="E31" s="44">
        <f>E$15/E$29</f>
        <v>4.2832657631505127</v>
      </c>
      <c r="F31" s="43"/>
      <c r="G31" s="36" t="s">
        <v>108</v>
      </c>
      <c r="H31" s="37">
        <v>0.65</v>
      </c>
    </row>
    <row r="32" spans="2:8" x14ac:dyDescent="0.35">
      <c r="B32" s="33" t="s">
        <v>109</v>
      </c>
      <c r="C32" s="45">
        <v>218606000</v>
      </c>
      <c r="D32" s="45">
        <v>224996000</v>
      </c>
      <c r="E32" s="45">
        <v>227345000</v>
      </c>
      <c r="G32" s="36" t="s">
        <v>110</v>
      </c>
      <c r="H32" s="37">
        <f>AVERAGE(($D32/$C32)-1,($E32/$D32)-1)</f>
        <v>1.9835428153835988E-2</v>
      </c>
    </row>
    <row r="33" spans="2:11" x14ac:dyDescent="0.35">
      <c r="B33" s="33" t="s">
        <v>111</v>
      </c>
      <c r="C33" s="37">
        <f>C$24/SUM(C$12:C$15)</f>
        <v>4.3738262051611999E-2</v>
      </c>
      <c r="D33" s="37">
        <f>D$24/SUM(D$12:D$15)</f>
        <v>4.5666528676847631E-2</v>
      </c>
      <c r="E33" s="37">
        <f>E$24/SUM(E$12:E$15)</f>
        <v>4.2322878910955992E-2</v>
      </c>
      <c r="F33" s="37">
        <f>F$24/SUM(F$12:F$15)</f>
        <v>4.3913484834314426E-2</v>
      </c>
    </row>
    <row r="34" spans="2:11" x14ac:dyDescent="0.35">
      <c r="B34" s="33" t="s">
        <v>112</v>
      </c>
      <c r="C34" s="42">
        <f>C$25/($C$5*12)</f>
        <v>49210.416666666664</v>
      </c>
      <c r="D34" s="42">
        <f>D$25/($C$5*12)</f>
        <v>51975</v>
      </c>
      <c r="E34" s="42">
        <f>E$25/($C$5*12)</f>
        <v>49110.416666666664</v>
      </c>
      <c r="F34" s="42">
        <f>F$25/($C$5*12)</f>
        <v>50098.611111111109</v>
      </c>
    </row>
    <row r="37" spans="2:11" x14ac:dyDescent="0.35">
      <c r="B37" s="6" t="s">
        <v>113</v>
      </c>
      <c r="C37" s="6"/>
      <c r="D37" s="6"/>
      <c r="E37" s="6"/>
    </row>
    <row r="38" spans="2:11" x14ac:dyDescent="0.35">
      <c r="B38" s="19" t="s">
        <v>114</v>
      </c>
      <c r="C38" s="46">
        <f>AVERAGE(C27:D27)</f>
        <v>31628500</v>
      </c>
    </row>
    <row r="40" spans="2:11" x14ac:dyDescent="0.35">
      <c r="B40" s="6" t="s">
        <v>115</v>
      </c>
      <c r="C40" s="6"/>
      <c r="D40" s="6"/>
      <c r="E40" s="6"/>
      <c r="F40" s="6"/>
      <c r="G40" s="6"/>
      <c r="H40" s="6"/>
      <c r="I40" s="6"/>
      <c r="J40" s="6"/>
      <c r="K40" s="6"/>
    </row>
    <row r="41" spans="2:11" x14ac:dyDescent="0.35">
      <c r="B41" s="19" t="s">
        <v>65</v>
      </c>
      <c r="F41" s="19" t="s">
        <v>116</v>
      </c>
      <c r="G41" s="19" t="s">
        <v>117</v>
      </c>
      <c r="H41" s="19" t="s">
        <v>118</v>
      </c>
      <c r="I41" s="19" t="s">
        <v>119</v>
      </c>
      <c r="J41" s="19" t="s">
        <v>120</v>
      </c>
      <c r="K41" s="19" t="s">
        <v>121</v>
      </c>
    </row>
    <row r="42" spans="2:11" x14ac:dyDescent="0.35">
      <c r="B42" s="19" t="s">
        <v>122</v>
      </c>
      <c r="F42" s="47">
        <v>0.65</v>
      </c>
      <c r="G42" s="47">
        <v>0.45</v>
      </c>
      <c r="H42" s="47">
        <v>0.3</v>
      </c>
      <c r="I42" s="47">
        <v>0.2</v>
      </c>
      <c r="J42" s="47">
        <v>0.12</v>
      </c>
      <c r="K42" s="47">
        <v>0.08</v>
      </c>
    </row>
    <row r="44" spans="2:11" x14ac:dyDescent="0.35">
      <c r="B44" s="6" t="s">
        <v>123</v>
      </c>
      <c r="C44" s="6"/>
      <c r="D44" s="6"/>
      <c r="E44" s="6"/>
    </row>
    <row r="45" spans="2:11" x14ac:dyDescent="0.35">
      <c r="B45" s="19" t="s">
        <v>124</v>
      </c>
      <c r="C45" s="48" t="s">
        <v>125</v>
      </c>
      <c r="E45" s="49"/>
    </row>
    <row r="46" spans="2:11" ht="29" x14ac:dyDescent="0.35">
      <c r="B46" s="50" t="s">
        <v>126</v>
      </c>
      <c r="C46" s="50" t="s">
        <v>127</v>
      </c>
      <c r="D46" s="50" t="s">
        <v>128</v>
      </c>
      <c r="E46" s="50" t="s">
        <v>129</v>
      </c>
    </row>
    <row r="47" spans="2:11" x14ac:dyDescent="0.35">
      <c r="B47" s="51" t="s">
        <v>125</v>
      </c>
      <c r="C47" s="47">
        <v>0</v>
      </c>
      <c r="D47" s="47">
        <v>0</v>
      </c>
      <c r="E47" s="47">
        <v>0</v>
      </c>
    </row>
    <row r="48" spans="2:11" x14ac:dyDescent="0.35">
      <c r="B48" s="51" t="s">
        <v>130</v>
      </c>
      <c r="C48" s="47">
        <v>0.02</v>
      </c>
      <c r="D48" s="47">
        <v>0.05</v>
      </c>
      <c r="E48" s="47">
        <v>-0.1</v>
      </c>
    </row>
    <row r="49" spans="2:5" x14ac:dyDescent="0.35">
      <c r="B49" s="51" t="s">
        <v>131</v>
      </c>
      <c r="C49" s="47">
        <v>-0.02</v>
      </c>
      <c r="D49" s="47">
        <v>-0.05</v>
      </c>
      <c r="E49" s="47">
        <v>0.15</v>
      </c>
    </row>
    <row r="51" spans="2:5" x14ac:dyDescent="0.35">
      <c r="B51" s="19" t="s">
        <v>132</v>
      </c>
      <c r="C51" s="52">
        <f>INDEX(C47:C49,MATCH($C$45,$B$47:$B$49,0))</f>
        <v>0</v>
      </c>
    </row>
    <row r="52" spans="2:5" x14ac:dyDescent="0.35">
      <c r="B52" s="19" t="s">
        <v>133</v>
      </c>
      <c r="C52" s="52">
        <f>INDEX(D47:D49,MATCH($C$45,$B$47:$B$49,0))</f>
        <v>0</v>
      </c>
    </row>
    <row r="53" spans="2:5" x14ac:dyDescent="0.35">
      <c r="B53" s="19" t="s">
        <v>134</v>
      </c>
      <c r="C53" s="52">
        <f>INDEX(E47:E49,MATCH($C$45,$B$47:$B$49,0))</f>
        <v>0</v>
      </c>
    </row>
    <row r="54" spans="2:5" x14ac:dyDescent="0.35">
      <c r="B54" s="19" t="s">
        <v>135</v>
      </c>
      <c r="C54" s="52">
        <f>H29+C51</f>
        <v>5.8821893751093146E-3</v>
      </c>
    </row>
    <row r="55" spans="2:5" x14ac:dyDescent="0.35">
      <c r="B55" s="19" t="s">
        <v>136</v>
      </c>
      <c r="C55" s="53">
        <f>C4*(1+C53)</f>
        <v>2.2999999999999998</v>
      </c>
    </row>
    <row r="57" spans="2:5" x14ac:dyDescent="0.35">
      <c r="B57" s="19" t="s">
        <v>137</v>
      </c>
      <c r="C57" s="47">
        <v>0.24</v>
      </c>
    </row>
    <row r="58" spans="2:5" x14ac:dyDescent="0.35">
      <c r="B58" s="19" t="s">
        <v>138</v>
      </c>
      <c r="C58" s="54">
        <f>AVERAGE(('Income Statement'!D29/'Income Statement'!C29)-1,('Income Statement'!E29/'Income Statement'!D29)-1)</f>
        <v>3.808707568889147E-2</v>
      </c>
    </row>
  </sheetData>
  <mergeCells count="4">
    <mergeCell ref="B1:H1"/>
    <mergeCell ref="B37:E37"/>
    <mergeCell ref="B40:K40"/>
    <mergeCell ref="B44:E44"/>
  </mergeCells>
  <dataValidations count="3">
    <dataValidation type="list" allowBlank="1" showInputMessage="1" showErrorMessage="1" sqref="C2" xr:uid="{00000000-0002-0000-0200-000000000000}">
      <formula1>"90,100,115,120,150,162,177,185,196,202,220,246,288,306,330,400,434,500"</formula1>
      <formula2>0</formula2>
    </dataValidation>
    <dataValidation type="list" allowBlank="1" showInputMessage="1" showErrorMessage="1" sqref="C4" xr:uid="{00000000-0002-0000-0200-000001000000}">
      <formula1>"2,2.30,2.80,3,3.05,3.15,3.40,3.87,4,4.09,4.17,4.40,4.88,5"</formula1>
      <formula2>0</formula2>
    </dataValidation>
    <dataValidation type="list" sqref="C45" xr:uid="{00000000-0002-0000-0200-000002000000}">
      <formula1>"Base,Upside,Downside"</formula1>
      <formula2>0</formula2>
    </dataValidation>
  </dataValidations>
  <pageMargins left="0.7" right="0.7" top="0.75" bottom="0.75" header="0.511811023622047" footer="0.511811023622047"/>
  <pageSetup orientation="portrait" horizontalDpi="300" verticalDpi="300"/>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47"/>
  <sheetViews>
    <sheetView zoomScaleNormal="100" workbookViewId="0">
      <pane xSplit="2" ySplit="5" topLeftCell="C14" activePane="bottomRight" state="frozen"/>
      <selection pane="topRight"/>
      <selection pane="bottomLeft"/>
      <selection pane="bottomRight" activeCell="G8" sqref="G8"/>
    </sheetView>
  </sheetViews>
  <sheetFormatPr defaultColWidth="8.54296875" defaultRowHeight="14.5" x14ac:dyDescent="0.35"/>
  <cols>
    <col min="1" max="1" width="3" customWidth="1"/>
    <col min="2" max="2" width="34" customWidth="1"/>
    <col min="3" max="11" width="15" customWidth="1"/>
  </cols>
  <sheetData>
    <row r="1" spans="2:11" ht="18" customHeight="1" x14ac:dyDescent="0.45">
      <c r="B1" s="7" t="s">
        <v>139</v>
      </c>
      <c r="C1" s="7"/>
      <c r="D1" s="7"/>
      <c r="E1" s="7"/>
      <c r="F1" s="7"/>
      <c r="G1" s="7"/>
      <c r="H1" s="7"/>
      <c r="I1" s="7"/>
      <c r="J1" s="7"/>
      <c r="K1" s="7"/>
    </row>
    <row r="2" spans="2:11" x14ac:dyDescent="0.35">
      <c r="B2" s="5" t="s">
        <v>140</v>
      </c>
      <c r="C2" s="5"/>
      <c r="D2" s="5"/>
      <c r="E2" s="5"/>
      <c r="F2" s="5"/>
      <c r="G2" s="5"/>
      <c r="H2" s="5"/>
      <c r="I2" s="5"/>
      <c r="J2" s="5"/>
      <c r="K2" s="5"/>
    </row>
    <row r="4" spans="2:11" ht="25.5" customHeight="1" x14ac:dyDescent="0.35">
      <c r="C4" s="55" t="s">
        <v>141</v>
      </c>
      <c r="D4" s="56"/>
      <c r="E4" s="56"/>
      <c r="F4" s="57" t="s">
        <v>142</v>
      </c>
      <c r="G4" s="58"/>
      <c r="H4" s="58"/>
      <c r="I4" s="58"/>
      <c r="J4" s="58"/>
      <c r="K4" s="58"/>
    </row>
    <row r="5" spans="2:11" ht="21" customHeight="1" x14ac:dyDescent="0.35">
      <c r="B5" s="59" t="s">
        <v>65</v>
      </c>
      <c r="C5" s="59">
        <v>2022</v>
      </c>
      <c r="D5" s="59">
        <v>2023</v>
      </c>
      <c r="E5" s="59">
        <v>2024</v>
      </c>
      <c r="F5" s="59">
        <f t="shared" ref="F5:K5" si="0">E$5+1</f>
        <v>2025</v>
      </c>
      <c r="G5" s="59">
        <f t="shared" si="0"/>
        <v>2026</v>
      </c>
      <c r="H5" s="59">
        <f t="shared" si="0"/>
        <v>2027</v>
      </c>
      <c r="I5" s="59">
        <f t="shared" si="0"/>
        <v>2028</v>
      </c>
      <c r="J5" s="59">
        <f t="shared" si="0"/>
        <v>2029</v>
      </c>
      <c r="K5" s="59">
        <f t="shared" si="0"/>
        <v>2030</v>
      </c>
    </row>
    <row r="6" spans="2:11" x14ac:dyDescent="0.35">
      <c r="B6" s="60" t="s">
        <v>85</v>
      </c>
      <c r="C6" s="43"/>
      <c r="D6" s="43"/>
      <c r="E6" s="43"/>
    </row>
    <row r="7" spans="2:11" ht="17.25" customHeight="1" x14ac:dyDescent="0.35">
      <c r="B7" s="33" t="str">
        <f t="array" ref="B7:B10">Data!B12:B15</f>
        <v>Passenger</v>
      </c>
      <c r="C7" s="61">
        <f t="array" ref="C7:E10">Data!C12:E15</f>
        <v>2137762000</v>
      </c>
      <c r="D7" s="62">
        <v>2324387000</v>
      </c>
      <c r="E7" s="62">
        <v>2217059000</v>
      </c>
      <c r="F7" s="63">
        <f t="shared" ref="F7:K7" si="1">F$35*F$44</f>
        <v>2111425707.0243332</v>
      </c>
      <c r="G7" s="63">
        <f t="shared" si="1"/>
        <v>2187560878.2710605</v>
      </c>
      <c r="H7" s="63">
        <f t="shared" si="1"/>
        <v>2266441381.3954301</v>
      </c>
      <c r="I7" s="63">
        <f t="shared" si="1"/>
        <v>2348166209.3726339</v>
      </c>
      <c r="J7" s="63">
        <f t="shared" si="1"/>
        <v>2432837924.7314086</v>
      </c>
      <c r="K7" s="63">
        <f t="shared" si="1"/>
        <v>2520562788.2673354</v>
      </c>
    </row>
    <row r="8" spans="2:11" ht="15" customHeight="1" x14ac:dyDescent="0.35">
      <c r="B8" s="33" t="str">
        <v>Third Party Products</v>
      </c>
      <c r="C8" s="62">
        <v>100959000</v>
      </c>
      <c r="D8" s="62">
        <v>112579000</v>
      </c>
      <c r="E8" s="62">
        <v>142128000</v>
      </c>
      <c r="F8" s="35">
        <f t="shared" ref="F8:K8" si="2">F$35*F$36</f>
        <v>169355121.43638408</v>
      </c>
      <c r="G8" s="35">
        <f t="shared" si="2"/>
        <v>201798077.48460823</v>
      </c>
      <c r="H8" s="35">
        <f t="shared" si="2"/>
        <v>240456053.12137422</v>
      </c>
      <c r="I8" s="35">
        <f t="shared" si="2"/>
        <v>286519644.80245948</v>
      </c>
      <c r="J8" s="35">
        <f t="shared" si="2"/>
        <v>341407528.70250875</v>
      </c>
      <c r="K8" s="35">
        <f t="shared" si="2"/>
        <v>406810153.40192753</v>
      </c>
    </row>
    <row r="9" spans="2:11" x14ac:dyDescent="0.35">
      <c r="B9" s="33" t="str">
        <v>Fixed Fee Contracts</v>
      </c>
      <c r="C9" s="62">
        <v>60937000</v>
      </c>
      <c r="D9" s="62">
        <v>68548000</v>
      </c>
      <c r="E9" s="62">
        <v>80660000</v>
      </c>
      <c r="F9" s="35">
        <f>E$9*(1+Data!$H$14)</f>
        <v>92823253.354186222</v>
      </c>
      <c r="G9" s="35">
        <f>F$9*(1+Data!$H$14)</f>
        <v>106820683.89853017</v>
      </c>
      <c r="H9" s="35">
        <f>G$9*(1+Data!$H$14)</f>
        <v>122928879.30796809</v>
      </c>
      <c r="I9" s="35">
        <f>H$9*(1+Data!$H$14)</f>
        <v>141466135.7370407</v>
      </c>
      <c r="J9" s="35">
        <f>I$9*(1+Data!$H$14)</f>
        <v>162798747.31660089</v>
      </c>
      <c r="K9" s="35">
        <f>J$9*(1+Data!$H$14)</f>
        <v>187348244.0852094</v>
      </c>
    </row>
    <row r="10" spans="2:11" x14ac:dyDescent="0.35">
      <c r="B10" s="33" t="str">
        <v>Resort and Other</v>
      </c>
      <c r="C10" s="62">
        <v>2171000</v>
      </c>
      <c r="D10" s="62">
        <v>4333000</v>
      </c>
      <c r="E10" s="62">
        <v>72742000</v>
      </c>
      <c r="F10" s="35">
        <f t="shared" ref="F10:K10" si="3">F$35*F$37</f>
        <v>120730305.66221493</v>
      </c>
      <c r="G10" s="35">
        <f t="shared" si="3"/>
        <v>176088673.06598061</v>
      </c>
      <c r="H10" s="35">
        <f t="shared" si="3"/>
        <v>230261797.98409635</v>
      </c>
      <c r="I10" s="35">
        <f t="shared" si="3"/>
        <v>277939489.78283036</v>
      </c>
      <c r="J10" s="35">
        <f t="shared" si="3"/>
        <v>313123308.39614075</v>
      </c>
      <c r="K10" s="35">
        <f t="shared" si="3"/>
        <v>340162371.71339869</v>
      </c>
    </row>
    <row r="11" spans="2:11" x14ac:dyDescent="0.35">
      <c r="B11" s="64" t="s">
        <v>143</v>
      </c>
      <c r="C11" s="65">
        <f t="shared" ref="C11:K11" si="4">SUM(C$7:C$10)</f>
        <v>2301829000</v>
      </c>
      <c r="D11" s="65">
        <f t="shared" si="4"/>
        <v>2509847000</v>
      </c>
      <c r="E11" s="65">
        <f t="shared" si="4"/>
        <v>2512589000</v>
      </c>
      <c r="F11" s="65">
        <f t="shared" si="4"/>
        <v>2494334387.477118</v>
      </c>
      <c r="G11" s="65">
        <f t="shared" si="4"/>
        <v>2672268312.7201791</v>
      </c>
      <c r="H11" s="65">
        <f t="shared" si="4"/>
        <v>2860088111.8088689</v>
      </c>
      <c r="I11" s="65">
        <f t="shared" si="4"/>
        <v>3054091479.6949644</v>
      </c>
      <c r="J11" s="65">
        <f t="shared" si="4"/>
        <v>3250167509.1466589</v>
      </c>
      <c r="K11" s="65">
        <f t="shared" si="4"/>
        <v>3454883557.4678707</v>
      </c>
    </row>
    <row r="12" spans="2:11" x14ac:dyDescent="0.35">
      <c r="C12" s="66"/>
      <c r="D12" s="66"/>
      <c r="E12" s="66"/>
    </row>
    <row r="13" spans="2:11" x14ac:dyDescent="0.35">
      <c r="B13" s="67" t="s">
        <v>88</v>
      </c>
      <c r="C13" s="68"/>
      <c r="D13" s="68"/>
      <c r="E13" s="68"/>
      <c r="F13" s="68"/>
      <c r="G13" s="68"/>
      <c r="H13" s="68"/>
      <c r="I13" s="68"/>
      <c r="J13" s="68"/>
      <c r="K13" s="68"/>
    </row>
    <row r="14" spans="2:11" ht="17.25" customHeight="1" x14ac:dyDescent="0.35">
      <c r="B14" s="33" t="s">
        <v>89</v>
      </c>
      <c r="C14" s="69">
        <f>Data!$C19</f>
        <v>552413000</v>
      </c>
      <c r="D14" s="69">
        <f>Data!$D19</f>
        <v>687803000</v>
      </c>
      <c r="E14" s="69">
        <f>Data!$E19</f>
        <v>819843000</v>
      </c>
      <c r="F14" s="35">
        <f>E$14*(1+Data!$H$19)</f>
        <v>999004086.31830525</v>
      </c>
      <c r="G14" s="35">
        <f>F$14*(1+Data!$H$19)</f>
        <v>1217317418.6773221</v>
      </c>
      <c r="H14" s="35">
        <f>G$14*(1+Data!$H$19)</f>
        <v>1483338975.3954062</v>
      </c>
      <c r="I14" s="35">
        <f>H$14*(1+Data!$H$19)</f>
        <v>1807494481.0350506</v>
      </c>
      <c r="J14" s="35">
        <f>I$14*(1+Data!$H$19)</f>
        <v>2202488003.8639107</v>
      </c>
      <c r="K14" s="35">
        <f>J$14*(1+Data!$H$19)</f>
        <v>2683799844.5154672</v>
      </c>
    </row>
    <row r="15" spans="2:11" ht="15" customHeight="1" x14ac:dyDescent="0.35">
      <c r="B15" s="33" t="s">
        <v>91</v>
      </c>
      <c r="C15" s="61">
        <f>Data!$C20</f>
        <v>814803000</v>
      </c>
      <c r="D15" s="61">
        <f>Data!$D20</f>
        <v>695871000</v>
      </c>
      <c r="E15" s="61">
        <f>Data!$E20</f>
        <v>627755000</v>
      </c>
      <c r="F15" s="63">
        <f>F$38*Data!$C$55</f>
        <v>533265316.45135784</v>
      </c>
      <c r="G15" s="63">
        <f>G$38*Data!$C$55</f>
        <v>543842862.3227613</v>
      </c>
      <c r="H15" s="63">
        <f>H$38*Data!$C$55</f>
        <v>554630218.34534097</v>
      </c>
      <c r="I15" s="63">
        <f>I$38*Data!$C$55</f>
        <v>565631546.19327641</v>
      </c>
      <c r="J15" s="63">
        <f>J$38*Data!$C$55</f>
        <v>576851090.08933628</v>
      </c>
      <c r="K15" s="63">
        <f>K$38*Data!$C$55</f>
        <v>588293178.44226527</v>
      </c>
    </row>
    <row r="16" spans="2:11" x14ac:dyDescent="0.35">
      <c r="B16" s="33" t="s">
        <v>92</v>
      </c>
      <c r="C16" s="69">
        <f>Data!$C21</f>
        <v>255168000</v>
      </c>
      <c r="D16" s="69">
        <f>Data!$D21</f>
        <v>256560000</v>
      </c>
      <c r="E16" s="69">
        <f>Data!$E21</f>
        <v>272843000</v>
      </c>
      <c r="F16" s="35">
        <f>E$16*(1+Data!$H$21)</f>
        <v>282245424.20346975</v>
      </c>
      <c r="G16" s="35">
        <f>F$16*(1+Data!$H$21)</f>
        <v>291971864.71266109</v>
      </c>
      <c r="H16" s="35">
        <f>G$16*(1+Data!$H$21)</f>
        <v>302033487.4316113</v>
      </c>
      <c r="I16" s="35">
        <f>H$16*(1+Data!$H$21)</f>
        <v>312441843.05182278</v>
      </c>
      <c r="J16" s="35">
        <f>I$16*(1+Data!$H$21)</f>
        <v>323208880.31239814</v>
      </c>
      <c r="K16" s="35">
        <f>J$16*(1+Data!$H$21)</f>
        <v>334346959.7171315</v>
      </c>
    </row>
    <row r="17" spans="2:12" x14ac:dyDescent="0.35">
      <c r="B17" s="33" t="s">
        <v>94</v>
      </c>
      <c r="C17" s="69">
        <f>Data!$C22</f>
        <v>197542000</v>
      </c>
      <c r="D17" s="69">
        <f>Data!$D22</f>
        <v>223130000</v>
      </c>
      <c r="E17" s="69">
        <f>Data!$E22</f>
        <v>258251000</v>
      </c>
      <c r="F17" s="35">
        <f>E$17*(1+Data!$H$22)</f>
        <v>295301426.80538672</v>
      </c>
      <c r="G17" s="35">
        <f>F$17*(1+Data!$H$22)</f>
        <v>337667357.2350046</v>
      </c>
      <c r="H17" s="35">
        <f>G$17*(1+Data!$H$22)</f>
        <v>386111389.21863258</v>
      </c>
      <c r="I17" s="35">
        <f>H$17*(1+Data!$H$22)</f>
        <v>441505528.11827332</v>
      </c>
      <c r="J17" s="35">
        <f>I$17*(1+Data!$H$22)</f>
        <v>504846883.05482608</v>
      </c>
      <c r="K17" s="35">
        <f>J$17*(1+Data!$H$22)</f>
        <v>577275615.1354394</v>
      </c>
    </row>
    <row r="18" spans="2:12" x14ac:dyDescent="0.35">
      <c r="B18" s="33" t="s">
        <v>96</v>
      </c>
      <c r="C18" s="69">
        <f>Data!$C23</f>
        <v>117814000</v>
      </c>
      <c r="D18" s="69">
        <f>Data!$D23</f>
        <v>123802000</v>
      </c>
      <c r="E18" s="69">
        <f>Data!$E23</f>
        <v>125430000</v>
      </c>
      <c r="F18" s="35">
        <f>E$18*(1+Data!$H$23)</f>
        <v>129442249.0680524</v>
      </c>
      <c r="G18" s="35">
        <f>F$18*(1+Data!$H$23)</f>
        <v>133582841.77466086</v>
      </c>
      <c r="H18" s="35">
        <f>G$18*(1+Data!$H$23)</f>
        <v>137855883.57022947</v>
      </c>
      <c r="I18" s="35">
        <f>H$18*(1+Data!$H$23)</f>
        <v>142265611.23012099</v>
      </c>
      <c r="J18" s="35">
        <f>I$18*(1+Data!$H$23)</f>
        <v>146816397.05547342</v>
      </c>
      <c r="K18" s="35">
        <f>J$18*(1+Data!$H$23)</f>
        <v>151512753.20839244</v>
      </c>
    </row>
    <row r="19" spans="2:12" x14ac:dyDescent="0.35">
      <c r="B19" s="33" t="s">
        <v>98</v>
      </c>
      <c r="C19" s="69">
        <f>Data!$C24</f>
        <v>100678000</v>
      </c>
      <c r="D19" s="69">
        <f>Data!$D24</f>
        <v>114616000</v>
      </c>
      <c r="E19" s="69">
        <f>Data!$E24</f>
        <v>106340000</v>
      </c>
      <c r="F19" s="35">
        <f>F$11*Data!$F$33</f>
        <v>109534915.29618539</v>
      </c>
      <c r="G19" s="35">
        <f>G$11*Data!$F$33</f>
        <v>117348614.02385658</v>
      </c>
      <c r="H19" s="35">
        <f>H$11*Data!$F$33</f>
        <v>125596435.92272174</v>
      </c>
      <c r="I19" s="35">
        <f>I$11*Data!$F$33</f>
        <v>134115799.87619372</v>
      </c>
      <c r="J19" s="35">
        <f>J$11*Data!$F$33</f>
        <v>142726181.62189329</v>
      </c>
      <c r="K19" s="35">
        <f>K$11*Data!$F$33</f>
        <v>151715976.70518762</v>
      </c>
    </row>
    <row r="20" spans="2:12" x14ac:dyDescent="0.35">
      <c r="B20" s="33" t="s">
        <v>99</v>
      </c>
      <c r="C20" s="61">
        <f>Data!$C25</f>
        <v>23621000</v>
      </c>
      <c r="D20" s="61">
        <f>Data!$D25</f>
        <v>24948000</v>
      </c>
      <c r="E20" s="61">
        <f>Data!$E25</f>
        <v>23573000</v>
      </c>
      <c r="F20" s="70">
        <f>Data!$C$5*Data!$F$34*12</f>
        <v>24047333.333333336</v>
      </c>
      <c r="G20" s="70">
        <f>Data!$C$5*Data!$F$34*12</f>
        <v>24047333.333333336</v>
      </c>
      <c r="H20" s="70">
        <f>Data!$C$5*Data!$F$34*12</f>
        <v>24047333.333333336</v>
      </c>
      <c r="I20" s="70">
        <f>Data!$C$5*Data!$F$34*12</f>
        <v>24047333.333333336</v>
      </c>
      <c r="J20" s="70">
        <f>Data!$C$5*Data!$F$34*12</f>
        <v>24047333.333333336</v>
      </c>
      <c r="K20" s="70">
        <f>Data!$C$5*Data!$F$34*12</f>
        <v>24047333.333333336</v>
      </c>
    </row>
    <row r="21" spans="2:12" x14ac:dyDescent="0.35">
      <c r="B21" s="33" t="s">
        <v>100</v>
      </c>
      <c r="C21" s="69">
        <f>Data!$C26</f>
        <v>113532000</v>
      </c>
      <c r="D21" s="69">
        <f>Data!$D26</f>
        <v>133501000</v>
      </c>
      <c r="E21" s="69">
        <f>Data!$E26</f>
        <v>150399000</v>
      </c>
      <c r="F21" s="35">
        <f>E$21*(1+Data!$H$26)</f>
        <v>173144184.21423748</v>
      </c>
      <c r="G21" s="35">
        <f>F$21*(1+Data!$H$26)</f>
        <v>199329174.57705042</v>
      </c>
      <c r="H21" s="35">
        <f>G$21*(1+Data!$H$26)</f>
        <v>229474180.82727095</v>
      </c>
      <c r="I21" s="35">
        <f>H$21*(1+Data!$H$26)</f>
        <v>264178085.21046183</v>
      </c>
      <c r="J21" s="35">
        <f>I$21*(1+Data!$H$26)</f>
        <v>304130340.30176216</v>
      </c>
      <c r="K21" s="35">
        <f>J$21*(1+Data!$H$26)</f>
        <v>350124666.16365165</v>
      </c>
    </row>
    <row r="22" spans="2:12" x14ac:dyDescent="0.35">
      <c r="B22" s="33" t="s">
        <v>102</v>
      </c>
      <c r="C22" s="61">
        <f>Data!$C27</f>
        <v>34612000</v>
      </c>
      <c r="D22" s="61">
        <f>Data!$D27</f>
        <v>28645000</v>
      </c>
      <c r="E22" s="61">
        <f>Data!$E27</f>
        <v>368131000</v>
      </c>
      <c r="F22" s="70">
        <f>Data!$C$38</f>
        <v>31628500</v>
      </c>
      <c r="G22" s="70">
        <f>Data!$C$38</f>
        <v>31628500</v>
      </c>
      <c r="H22" s="70">
        <f>Data!$C$38</f>
        <v>31628500</v>
      </c>
      <c r="I22" s="70">
        <f>Data!$C$38</f>
        <v>31628500</v>
      </c>
      <c r="J22" s="70">
        <f>Data!$C$38</f>
        <v>31628500</v>
      </c>
      <c r="K22" s="70">
        <f>Data!$C$38</f>
        <v>31628500</v>
      </c>
      <c r="L22" s="71"/>
    </row>
    <row r="23" spans="2:12" x14ac:dyDescent="0.35">
      <c r="B23" s="64" t="s">
        <v>144</v>
      </c>
      <c r="C23" s="65">
        <f t="shared" ref="C23:K23" si="5">SUM(C$14:C$22)</f>
        <v>2210183000</v>
      </c>
      <c r="D23" s="65">
        <f t="shared" si="5"/>
        <v>2288876000</v>
      </c>
      <c r="E23" s="65">
        <f t="shared" si="5"/>
        <v>2752565000</v>
      </c>
      <c r="F23" s="65">
        <f t="shared" si="5"/>
        <v>2577613435.6903286</v>
      </c>
      <c r="G23" s="65">
        <f t="shared" si="5"/>
        <v>2896735966.6566505</v>
      </c>
      <c r="H23" s="65">
        <f t="shared" si="5"/>
        <v>3274716404.0445471</v>
      </c>
      <c r="I23" s="65">
        <f t="shared" si="5"/>
        <v>3723308728.0485325</v>
      </c>
      <c r="J23" s="65">
        <f t="shared" si="5"/>
        <v>4256743609.6329336</v>
      </c>
      <c r="K23" s="65">
        <f t="shared" si="5"/>
        <v>4892744827.2208681</v>
      </c>
    </row>
    <row r="25" spans="2:12" x14ac:dyDescent="0.35">
      <c r="B25" s="72" t="s">
        <v>70</v>
      </c>
      <c r="C25" s="65">
        <f t="shared" ref="C25:K25" si="6">C$11-C$23</f>
        <v>91646000</v>
      </c>
      <c r="D25" s="65">
        <f t="shared" si="6"/>
        <v>220971000</v>
      </c>
      <c r="E25" s="65">
        <f t="shared" si="6"/>
        <v>-239976000</v>
      </c>
      <c r="F25" s="65">
        <f t="shared" si="6"/>
        <v>-83279048.213210583</v>
      </c>
      <c r="G25" s="65">
        <f t="shared" si="6"/>
        <v>-224467653.93647146</v>
      </c>
      <c r="H25" s="65">
        <f t="shared" si="6"/>
        <v>-414628292.2356782</v>
      </c>
      <c r="I25" s="65">
        <f t="shared" si="6"/>
        <v>-669217248.35356808</v>
      </c>
      <c r="J25" s="65">
        <f t="shared" si="6"/>
        <v>-1006576100.4862747</v>
      </c>
      <c r="K25" s="65">
        <f t="shared" si="6"/>
        <v>-1437861269.7529974</v>
      </c>
    </row>
    <row r="27" spans="2:12" x14ac:dyDescent="0.35">
      <c r="B27" s="6" t="s">
        <v>145</v>
      </c>
      <c r="C27" s="6"/>
      <c r="D27" s="6"/>
      <c r="E27" s="6"/>
      <c r="F27" s="6"/>
      <c r="G27" s="6"/>
      <c r="H27" s="6"/>
      <c r="I27" s="6"/>
      <c r="J27" s="6"/>
      <c r="K27" s="6"/>
    </row>
    <row r="28" spans="2:12" x14ac:dyDescent="0.35">
      <c r="B28" s="19" t="s">
        <v>146</v>
      </c>
      <c r="C28" s="73">
        <v>16470000</v>
      </c>
      <c r="D28" s="73">
        <v>46620000</v>
      </c>
      <c r="E28" s="73">
        <v>44010000</v>
      </c>
      <c r="F28" s="46">
        <f t="shared" ref="F28:K28" si="7">$E$28</f>
        <v>44010000</v>
      </c>
      <c r="G28" s="46">
        <f t="shared" si="7"/>
        <v>44010000</v>
      </c>
      <c r="H28" s="46">
        <f t="shared" si="7"/>
        <v>44010000</v>
      </c>
      <c r="I28" s="46">
        <f t="shared" si="7"/>
        <v>44010000</v>
      </c>
      <c r="J28" s="46">
        <f t="shared" si="7"/>
        <v>44010000</v>
      </c>
      <c r="K28" s="46">
        <f t="shared" si="7"/>
        <v>44010000</v>
      </c>
    </row>
    <row r="29" spans="2:12" x14ac:dyDescent="0.35">
      <c r="B29" s="19" t="s">
        <v>147</v>
      </c>
      <c r="C29" s="73">
        <v>103070000</v>
      </c>
      <c r="D29" s="73">
        <v>108050000</v>
      </c>
      <c r="E29" s="73">
        <v>111060000</v>
      </c>
      <c r="F29" s="74">
        <f>E29*(1+Data!$C$58)</f>
        <v>115289950.6260083</v>
      </c>
      <c r="G29" s="74">
        <f>F29*(1+Data!$C$58)</f>
        <v>119681007.70166965</v>
      </c>
      <c r="H29" s="74">
        <f>G29*(1+Data!$C$58)</f>
        <v>124239307.30052596</v>
      </c>
      <c r="I29" s="74">
        <f>H29*(1+Data!$C$58)</f>
        <v>128971219.20121655</v>
      </c>
      <c r="J29" s="74">
        <f>I29*(1+Data!$C$58)</f>
        <v>133883355.78862192</v>
      </c>
      <c r="K29" s="74">
        <f>J29*(1+Data!$C$58)</f>
        <v>138982581.29402596</v>
      </c>
      <c r="L29" s="43"/>
    </row>
    <row r="30" spans="2:12" x14ac:dyDescent="0.35">
      <c r="B30" s="19" t="s">
        <v>148</v>
      </c>
      <c r="C30" s="73">
        <v>90000</v>
      </c>
      <c r="D30" s="73">
        <v>490000</v>
      </c>
      <c r="E30" s="73">
        <v>1430000</v>
      </c>
      <c r="F30" s="46">
        <f t="shared" ref="F30:K30" si="8">$E$30</f>
        <v>1430000</v>
      </c>
      <c r="G30" s="46">
        <f t="shared" si="8"/>
        <v>1430000</v>
      </c>
      <c r="H30" s="46">
        <f t="shared" si="8"/>
        <v>1430000</v>
      </c>
      <c r="I30" s="46">
        <f t="shared" si="8"/>
        <v>1430000</v>
      </c>
      <c r="J30" s="46">
        <f t="shared" si="8"/>
        <v>1430000</v>
      </c>
      <c r="K30" s="46">
        <f t="shared" si="8"/>
        <v>1430000</v>
      </c>
    </row>
    <row r="31" spans="2:12" x14ac:dyDescent="0.35">
      <c r="B31" s="19" t="s">
        <v>149</v>
      </c>
      <c r="C31" s="46">
        <f t="shared" ref="C31:K31" si="9">C25+C28-C29+C30</f>
        <v>5136000</v>
      </c>
      <c r="D31" s="46">
        <f t="shared" si="9"/>
        <v>160031000</v>
      </c>
      <c r="E31" s="46">
        <f t="shared" si="9"/>
        <v>-305596000</v>
      </c>
      <c r="F31" s="46">
        <f t="shared" si="9"/>
        <v>-153128998.83921888</v>
      </c>
      <c r="G31" s="46">
        <f t="shared" si="9"/>
        <v>-298708661.6381411</v>
      </c>
      <c r="H31" s="46">
        <f t="shared" si="9"/>
        <v>-493427599.53620416</v>
      </c>
      <c r="I31" s="46">
        <f t="shared" si="9"/>
        <v>-752748467.55478466</v>
      </c>
      <c r="J31" s="46">
        <f t="shared" si="9"/>
        <v>-1095019456.2748966</v>
      </c>
      <c r="K31" s="46">
        <f t="shared" si="9"/>
        <v>-1531403851.0470233</v>
      </c>
    </row>
    <row r="32" spans="2:12" x14ac:dyDescent="0.35">
      <c r="B32" s="19" t="s">
        <v>150</v>
      </c>
      <c r="C32" s="73">
        <v>2460000</v>
      </c>
      <c r="D32" s="73">
        <v>41460000</v>
      </c>
      <c r="E32" s="73">
        <v>-68210000</v>
      </c>
      <c r="F32" s="74">
        <f>F31*Data!$C$57</f>
        <v>-36750959.721412532</v>
      </c>
      <c r="G32" s="74">
        <f>G31*Data!$C$57</f>
        <v>-71690078.793153867</v>
      </c>
      <c r="H32" s="74">
        <f>H31*Data!$C$57</f>
        <v>-118422623.888689</v>
      </c>
      <c r="I32" s="74">
        <f>I31*Data!$C$57</f>
        <v>-180659632.2131483</v>
      </c>
      <c r="J32" s="74">
        <f>J31*Data!$C$57</f>
        <v>-262804669.50597519</v>
      </c>
      <c r="K32" s="74">
        <f>K31*Data!$C$57</f>
        <v>-367536924.25128555</v>
      </c>
    </row>
    <row r="33" spans="2:11" x14ac:dyDescent="0.35">
      <c r="B33" s="19" t="s">
        <v>151</v>
      </c>
      <c r="C33" s="46">
        <f t="shared" ref="C33:K33" si="10">C31-C32</f>
        <v>2676000</v>
      </c>
      <c r="D33" s="46">
        <f t="shared" si="10"/>
        <v>118571000</v>
      </c>
      <c r="E33" s="46">
        <f t="shared" si="10"/>
        <v>-237386000</v>
      </c>
      <c r="F33" s="46">
        <f t="shared" si="10"/>
        <v>-116378039.11780635</v>
      </c>
      <c r="G33" s="46">
        <f t="shared" si="10"/>
        <v>-227018582.84498721</v>
      </c>
      <c r="H33" s="46">
        <f t="shared" si="10"/>
        <v>-375004975.64751518</v>
      </c>
      <c r="I33" s="46">
        <f t="shared" si="10"/>
        <v>-572088835.34163642</v>
      </c>
      <c r="J33" s="46">
        <f t="shared" si="10"/>
        <v>-832214786.76892138</v>
      </c>
      <c r="K33" s="46">
        <f t="shared" si="10"/>
        <v>-1163866926.7957377</v>
      </c>
    </row>
    <row r="34" spans="2:11" x14ac:dyDescent="0.35">
      <c r="B34" s="75" t="s">
        <v>152</v>
      </c>
    </row>
    <row r="35" spans="2:11" x14ac:dyDescent="0.35">
      <c r="B35" s="33" t="s">
        <v>103</v>
      </c>
      <c r="C35" s="76">
        <f t="array" ref="C35:E35">Data!C29:E29</f>
        <v>16796544</v>
      </c>
      <c r="D35" s="77">
        <v>17342236</v>
      </c>
      <c r="E35" s="77">
        <v>16982836</v>
      </c>
      <c r="F35" s="78">
        <f>E$35*(1+Data!$C$54)</f>
        <v>17082732.257478423</v>
      </c>
      <c r="G35" s="78">
        <f>F$35*(1+Data!$C$54)</f>
        <v>17183216.123661201</v>
      </c>
      <c r="H35" s="78">
        <f>G$35*(1+Data!$C$54)</f>
        <v>17284291.054974008</v>
      </c>
      <c r="I35" s="78">
        <f>H$35*(1+Data!$C$54)</f>
        <v>17385960.528173875</v>
      </c>
      <c r="J35" s="78">
        <f>I$35*(1+Data!$C$54)</f>
        <v>17488228.040468771</v>
      </c>
      <c r="K35" s="78">
        <f>J$35*(1+Data!$C$54)</f>
        <v>17591097.109637905</v>
      </c>
    </row>
    <row r="36" spans="2:11" x14ac:dyDescent="0.35">
      <c r="B36" s="33" t="str">
        <f t="array" ref="B36:E40">Data!B30:E34</f>
        <v>TPP Revenue Per Passenger</v>
      </c>
      <c r="C36" s="79">
        <v>6.0107007727303898</v>
      </c>
      <c r="D36" s="79">
        <v>6.4916081178920644</v>
      </c>
      <c r="E36" s="79">
        <v>8.3689202439451211</v>
      </c>
      <c r="F36" s="42">
        <f>E$36*(1+Data!$H$30)</f>
        <v>9.9138193401260111</v>
      </c>
      <c r="G36" s="42">
        <f>F$36*(1+Data!$H$30)</f>
        <v>11.74390614843826</v>
      </c>
      <c r="H36" s="42">
        <f>G$36*(1+Data!$H$30)</f>
        <v>13.911826198516639</v>
      </c>
      <c r="I36" s="42">
        <f>H$36*(1+Data!$H$30)</f>
        <v>16.479943362240792</v>
      </c>
      <c r="J36" s="42">
        <f>I$36*(1+Data!$H$30)</f>
        <v>19.522133855555406</v>
      </c>
      <c r="K36" s="42">
        <f>J$36*(1+Data!$H$30)</f>
        <v>23.125911412258773</v>
      </c>
    </row>
    <row r="37" spans="2:11" x14ac:dyDescent="0.35">
      <c r="B37" s="33" t="str">
        <v>Resort Revenue Per Passenger</v>
      </c>
      <c r="C37" s="79">
        <v>0.12925277961942647</v>
      </c>
      <c r="D37" s="79">
        <v>0.24985244117309902</v>
      </c>
      <c r="E37" s="79">
        <v>4.2832657631505127</v>
      </c>
      <c r="F37" s="80">
        <f>E$37*(1+Data!F$42)</f>
        <v>7.0673885091983459</v>
      </c>
      <c r="G37" s="80">
        <f>F$37*(1+Data!G$42)</f>
        <v>10.247713338337601</v>
      </c>
      <c r="H37" s="80">
        <f>G$37*(1+Data!H$42)</f>
        <v>13.322027339838881</v>
      </c>
      <c r="I37" s="80">
        <f>H$37*(1+Data!I$42)</f>
        <v>15.986432807806656</v>
      </c>
      <c r="J37" s="80">
        <f>I$37*(1+Data!J$42)</f>
        <v>17.904804744743455</v>
      </c>
      <c r="K37" s="80">
        <f>J$37*(1+Data!K$42)</f>
        <v>19.337189124322933</v>
      </c>
    </row>
    <row r="38" spans="2:11" x14ac:dyDescent="0.35">
      <c r="B38" s="33" t="str">
        <v>Gallons of Fuel Consumed</v>
      </c>
      <c r="C38" s="77">
        <v>218606000</v>
      </c>
      <c r="D38" s="77">
        <v>224996000</v>
      </c>
      <c r="E38" s="77">
        <v>227345000</v>
      </c>
      <c r="F38" s="76">
        <f>E38*(1+Data!$H$32)</f>
        <v>231854485.41363385</v>
      </c>
      <c r="G38" s="76">
        <f>F38*(1+Data!$H$32)</f>
        <v>236453418.40120059</v>
      </c>
      <c r="H38" s="76">
        <f>G38*(1+Data!$H$32)</f>
        <v>241143573.19362652</v>
      </c>
      <c r="I38" s="76">
        <f>H38*(1+Data!$H$32)</f>
        <v>245926759.214468</v>
      </c>
      <c r="J38" s="76">
        <f>I38*(1+Data!$H$32)</f>
        <v>250804821.77797231</v>
      </c>
      <c r="K38" s="76">
        <f>J38*(1+Data!$H$32)</f>
        <v>255779642.80098492</v>
      </c>
    </row>
    <row r="39" spans="2:11" x14ac:dyDescent="0.35">
      <c r="B39" s="33" t="str">
        <v>Percentage Marketing</v>
      </c>
      <c r="C39" s="81">
        <v>4.3738262051611999E-2</v>
      </c>
      <c r="D39" s="81">
        <v>4.5666528676847631E-2</v>
      </c>
      <c r="E39" s="81">
        <v>4.2322878910955992E-2</v>
      </c>
      <c r="F39" s="82"/>
      <c r="G39" s="82"/>
      <c r="H39" s="82"/>
      <c r="I39" s="82"/>
      <c r="J39" s="82"/>
      <c r="K39" s="82"/>
    </row>
    <row r="40" spans="2:11" x14ac:dyDescent="0.35">
      <c r="B40" s="33" t="str">
        <v>Lease Rate</v>
      </c>
      <c r="C40" s="42">
        <v>49210.416666666664</v>
      </c>
      <c r="D40" s="42">
        <v>51975</v>
      </c>
      <c r="E40" s="42">
        <v>49110.416666666664</v>
      </c>
      <c r="F40" s="83"/>
      <c r="G40" s="83"/>
      <c r="H40" s="83"/>
      <c r="I40" s="83"/>
      <c r="J40" s="83"/>
      <c r="K40" s="83"/>
    </row>
    <row r="41" spans="2:11" x14ac:dyDescent="0.35">
      <c r="B41" s="4" t="s">
        <v>153</v>
      </c>
      <c r="C41" s="4"/>
      <c r="D41" s="4"/>
      <c r="E41" s="4"/>
      <c r="F41" s="4"/>
      <c r="G41" s="4"/>
      <c r="H41" s="4"/>
      <c r="I41" s="4"/>
      <c r="J41" s="4"/>
      <c r="K41" s="4"/>
    </row>
    <row r="43" spans="2:11" x14ac:dyDescent="0.35">
      <c r="B43" s="19" t="s">
        <v>154</v>
      </c>
      <c r="F43" s="53">
        <f>Data!$C$2*(1+Data!$C$3)</f>
        <v>123.60000000000001</v>
      </c>
      <c r="G43" s="53">
        <f>F43*(1+Data!$C$3)</f>
        <v>127.30800000000001</v>
      </c>
      <c r="H43" s="53">
        <f>G43*(1+Data!$C$3)</f>
        <v>131.12724</v>
      </c>
      <c r="I43" s="53">
        <f>H43*(1+Data!$C$3)</f>
        <v>135.06105719999999</v>
      </c>
      <c r="J43" s="53">
        <f>I43*(1+Data!$C$3)</f>
        <v>139.112888916</v>
      </c>
      <c r="K43" s="53">
        <f>J43*(1+Data!$C$3)</f>
        <v>143.28627558348001</v>
      </c>
    </row>
    <row r="44" spans="2:11" x14ac:dyDescent="0.35">
      <c r="B44" s="19" t="s">
        <v>155</v>
      </c>
      <c r="F44" s="53">
        <f>F43*(1+Data!$C$52)</f>
        <v>123.60000000000001</v>
      </c>
      <c r="G44" s="53">
        <f>G43*(1+Data!$C$52)</f>
        <v>127.30800000000001</v>
      </c>
      <c r="H44" s="53">
        <f>H43*(1+Data!$C$52)</f>
        <v>131.12724</v>
      </c>
      <c r="I44" s="53">
        <f>I43*(1+Data!$C$52)</f>
        <v>135.06105719999999</v>
      </c>
      <c r="J44" s="53">
        <f>J43*(1+Data!$C$52)</f>
        <v>139.112888916</v>
      </c>
      <c r="K44" s="53">
        <f>K43*(1+Data!$C$52)</f>
        <v>143.28627558348001</v>
      </c>
    </row>
    <row r="46" spans="2:11" x14ac:dyDescent="0.35">
      <c r="B46" s="19" t="s">
        <v>156</v>
      </c>
      <c r="C46" s="84">
        <v>17.79</v>
      </c>
      <c r="D46" s="84">
        <v>18.7</v>
      </c>
      <c r="E46" s="84">
        <v>17.809999999999999</v>
      </c>
      <c r="F46" s="85">
        <f t="shared" ref="F46:K46" si="11">$E$46</f>
        <v>17.809999999999999</v>
      </c>
      <c r="G46" s="85">
        <f t="shared" si="11"/>
        <v>17.809999999999999</v>
      </c>
      <c r="H46" s="85">
        <f t="shared" si="11"/>
        <v>17.809999999999999</v>
      </c>
      <c r="I46" s="85">
        <f t="shared" si="11"/>
        <v>17.809999999999999</v>
      </c>
      <c r="J46" s="85">
        <f t="shared" si="11"/>
        <v>17.809999999999999</v>
      </c>
      <c r="K46" s="85">
        <f t="shared" si="11"/>
        <v>17.809999999999999</v>
      </c>
    </row>
    <row r="47" spans="2:11" x14ac:dyDescent="0.35">
      <c r="B47" s="19" t="s">
        <v>157</v>
      </c>
      <c r="C47" s="53">
        <f t="shared" ref="C47:K47" si="12">C33/(C46*1000000)</f>
        <v>0.15042158516020235</v>
      </c>
      <c r="D47" s="53">
        <f t="shared" si="12"/>
        <v>6.3406951871657755</v>
      </c>
      <c r="E47" s="53">
        <f t="shared" si="12"/>
        <v>-13.328804042672656</v>
      </c>
      <c r="F47" s="53">
        <f t="shared" si="12"/>
        <v>-6.5344210622013668</v>
      </c>
      <c r="G47" s="53">
        <f t="shared" si="12"/>
        <v>-12.746691905950994</v>
      </c>
      <c r="H47" s="53">
        <f t="shared" si="12"/>
        <v>-21.055866122825108</v>
      </c>
      <c r="I47" s="53">
        <f t="shared" si="12"/>
        <v>-32.121776268480431</v>
      </c>
      <c r="J47" s="53">
        <f t="shared" si="12"/>
        <v>-46.727388364341458</v>
      </c>
      <c r="K47" s="53">
        <f t="shared" si="12"/>
        <v>-65.349069443893185</v>
      </c>
    </row>
  </sheetData>
  <mergeCells count="4">
    <mergeCell ref="B1:K1"/>
    <mergeCell ref="B2:K2"/>
    <mergeCell ref="B27:K27"/>
    <mergeCell ref="B41:K41"/>
  </mergeCells>
  <conditionalFormatting sqref="C25:K25">
    <cfRule type="cellIs" dxfId="0" priority="2" operator="lessThan">
      <formula>0</formula>
    </cfRule>
  </conditionalFormatting>
  <pageMargins left="0.7" right="0.7" top="0.75" bottom="0.75" header="0.511811023622047" footer="0.511811023622047"/>
  <pageSetup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11"/>
  <sheetViews>
    <sheetView zoomScaleNormal="100" workbookViewId="0">
      <selection activeCell="B8" sqref="B8"/>
    </sheetView>
  </sheetViews>
  <sheetFormatPr defaultColWidth="8.54296875" defaultRowHeight="14.5" x14ac:dyDescent="0.35"/>
  <cols>
    <col min="2" max="2" width="36.08984375" customWidth="1"/>
    <col min="3" max="3" width="17.6328125" customWidth="1"/>
    <col min="4" max="4" width="17.26953125" customWidth="1"/>
  </cols>
  <sheetData>
    <row r="1" spans="2:4" ht="18.5" x14ac:dyDescent="0.45">
      <c r="B1" s="3" t="s">
        <v>158</v>
      </c>
      <c r="C1" s="3"/>
      <c r="D1" s="3"/>
    </row>
    <row r="2" spans="2:4" x14ac:dyDescent="0.35">
      <c r="C2" s="19" t="s">
        <v>65</v>
      </c>
      <c r="D2" s="19" t="s">
        <v>159</v>
      </c>
    </row>
    <row r="3" spans="2:4" x14ac:dyDescent="0.35">
      <c r="B3" s="19" t="s">
        <v>160</v>
      </c>
      <c r="C3" s="86">
        <f>INDEX('Income Statement'!F5:K5,MATCH(D3,'Income Statement'!F25:K25,0))</f>
        <v>2025</v>
      </c>
      <c r="D3" s="46">
        <f>MAX('Income Statement'!F25:K25)</f>
        <v>-83279048.213210583</v>
      </c>
    </row>
    <row r="4" spans="2:4" x14ac:dyDescent="0.35">
      <c r="B4" s="19" t="s">
        <v>161</v>
      </c>
      <c r="C4" s="86">
        <f>INDEX('Income Statement'!F5:K5,MATCH(D4,'Income Statement'!F25:K25,0))</f>
        <v>2030</v>
      </c>
      <c r="D4" s="46">
        <f>MIN('Income Statement'!F25:K25)</f>
        <v>-1437861269.7529974</v>
      </c>
    </row>
    <row r="5" spans="2:4" x14ac:dyDescent="0.35">
      <c r="B5" s="19" t="s">
        <v>162</v>
      </c>
      <c r="C5" s="86" t="s">
        <v>163</v>
      </c>
      <c r="D5" s="52">
        <f>(('Income Statement'!K11/'Income Statement'!E11)^(1/6))-1</f>
        <v>5.4513134366814153E-2</v>
      </c>
    </row>
    <row r="6" spans="2:4" x14ac:dyDescent="0.35">
      <c r="B6" s="19" t="s">
        <v>164</v>
      </c>
      <c r="C6" s="86" t="s">
        <v>163</v>
      </c>
      <c r="D6" s="52">
        <f>'Income Statement'!K25/'Income Statement'!K11</f>
        <v>-0.41618226659043311</v>
      </c>
    </row>
    <row r="7" spans="2:4" x14ac:dyDescent="0.35">
      <c r="B7" s="19" t="s">
        <v>165</v>
      </c>
      <c r="C7" s="86" t="s">
        <v>163</v>
      </c>
      <c r="D7" s="52">
        <f>'Income Statement'!K33/'Income Statement'!K11</f>
        <v>-0.33687587654871676</v>
      </c>
    </row>
    <row r="8" spans="2:4" x14ac:dyDescent="0.35">
      <c r="B8" s="19" t="s">
        <v>166</v>
      </c>
      <c r="C8" s="86">
        <f>INDEX('Income Statement'!F5:K5,MATCH(D8,'Income Statement'!F33:K33,0))</f>
        <v>2025</v>
      </c>
      <c r="D8" s="46">
        <f>MAX('Income Statement'!F33:K33)</f>
        <v>-116378039.11780635</v>
      </c>
    </row>
    <row r="9" spans="2:4" x14ac:dyDescent="0.35">
      <c r="B9" s="19" t="s">
        <v>167</v>
      </c>
      <c r="C9" s="86">
        <f>INDEX('Income Statement'!F5:K5,MATCH(D9,'Income Statement'!F33:K33,0))</f>
        <v>2030</v>
      </c>
      <c r="D9" s="46">
        <f>MIN('Income Statement'!F33:K33)</f>
        <v>-1163866926.7957377</v>
      </c>
    </row>
    <row r="11" spans="2:4" x14ac:dyDescent="0.35">
      <c r="B11" s="87" t="s">
        <v>168</v>
      </c>
    </row>
  </sheetData>
  <mergeCells count="1">
    <mergeCell ref="B1:D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7"/>
  <sheetViews>
    <sheetView showGridLines="0" tabSelected="1" zoomScaleNormal="100" workbookViewId="0"/>
  </sheetViews>
  <sheetFormatPr defaultColWidth="8.54296875" defaultRowHeight="14.5" x14ac:dyDescent="0.35"/>
  <cols>
    <col min="1" max="1" width="2" customWidth="1"/>
    <col min="2" max="2" width="30" customWidth="1"/>
    <col min="3" max="5" width="18" customWidth="1"/>
  </cols>
  <sheetData>
    <row r="1" spans="2:5" ht="18.5" x14ac:dyDescent="0.45">
      <c r="B1" s="3" t="s">
        <v>169</v>
      </c>
      <c r="C1" s="3"/>
      <c r="D1" s="3"/>
      <c r="E1" s="3"/>
    </row>
    <row r="2" spans="2:5" x14ac:dyDescent="0.35">
      <c r="B2" s="2" t="s">
        <v>170</v>
      </c>
      <c r="C2" s="2"/>
      <c r="D2" s="2"/>
      <c r="E2" s="2"/>
    </row>
    <row r="4" spans="2:5" ht="45" customHeight="1" x14ac:dyDescent="0.35">
      <c r="B4" s="1" t="s">
        <v>171</v>
      </c>
      <c r="C4" s="1"/>
      <c r="D4" s="1"/>
      <c r="E4" s="1"/>
    </row>
    <row r="6" spans="2:5" x14ac:dyDescent="0.35">
      <c r="B6" s="19" t="s">
        <v>172</v>
      </c>
      <c r="C6" s="88">
        <f>Data!$C$54-0.01</f>
        <v>-4.1178106248906856E-3</v>
      </c>
      <c r="D6" s="88">
        <f>Data!$C$54</f>
        <v>5.8821893751093146E-3</v>
      </c>
      <c r="E6" s="88">
        <f>Data!$C$54+0.01</f>
        <v>1.5882189375109317E-2</v>
      </c>
    </row>
    <row r="7" spans="2:5" x14ac:dyDescent="0.35">
      <c r="B7" s="12" t="s">
        <v>173</v>
      </c>
    </row>
    <row r="8" spans="2:5" x14ac:dyDescent="0.35">
      <c r="B8" s="89">
        <f>Data!$C$55*0.85</f>
        <v>1.9549999999999998</v>
      </c>
      <c r="C8" s="90">
        <f>((('Income Statement'!$E$35*(1+C$6)^6)*$C$16)+$C$14)-((($C$17)*$B8)+$C$15)</f>
        <v>-1496279086.6199436</v>
      </c>
      <c r="D8" s="90">
        <f>((('Income Statement'!$E$35*(1+D$6)^6)*$C$16)+$C$14)-((($C$17)*$B8)+$C$15)</f>
        <v>-1349617292.9866571</v>
      </c>
      <c r="E8" s="90">
        <f>((('Income Statement'!$E$35*(1+E$6)^6)*$C$16)+$C$14)-((($C$17)*$B8)+$C$15)</f>
        <v>-1195481252.1182218</v>
      </c>
    </row>
    <row r="9" spans="2:5" x14ac:dyDescent="0.35">
      <c r="B9" s="89">
        <f>Data!$C$55</f>
        <v>2.2999999999999998</v>
      </c>
      <c r="C9" s="90">
        <f>((('Income Statement'!$E$35*(1+C$6)^6)*$C$16)+$C$14)-((($C$17)*$B9)+$C$15)</f>
        <v>-1584523063.3862839</v>
      </c>
      <c r="D9" s="90">
        <f>((('Income Statement'!$E$35*(1+D$6)^6)*$C$16)+$C$14)-((($C$17)*$B9)+$C$15)</f>
        <v>-1437861269.7529974</v>
      </c>
      <c r="E9" s="90">
        <f>((('Income Statement'!$E$35*(1+E$6)^6)*$C$16)+$C$14)-((($C$17)*$B9)+$C$15)</f>
        <v>-1283725228.884562</v>
      </c>
    </row>
    <row r="10" spans="2:5" x14ac:dyDescent="0.35">
      <c r="B10" s="89">
        <f>Data!$C$55*1.15</f>
        <v>2.6449999999999996</v>
      </c>
      <c r="C10" s="90">
        <f>((('Income Statement'!$E$35*(1+C$6)^6)*$C$16)+$C$14)-((($C$17)*$B10)+$C$15)</f>
        <v>-1672767040.1526232</v>
      </c>
      <c r="D10" s="90">
        <f>((('Income Statement'!$E$35*(1+D$6)^6)*$C$16)+$C$14)-((($C$17)*$B10)+$C$15)</f>
        <v>-1526105246.5193367</v>
      </c>
      <c r="E10" s="90">
        <f>((('Income Statement'!$E$35*(1+E$6)^6)*$C$16)+$C$14)-((($C$17)*$B10)+$C$15)</f>
        <v>-1371969205.6509013</v>
      </c>
    </row>
    <row r="13" spans="2:5" x14ac:dyDescent="0.35">
      <c r="B13" s="9" t="s">
        <v>174</v>
      </c>
      <c r="C13" s="9"/>
    </row>
    <row r="14" spans="2:5" x14ac:dyDescent="0.35">
      <c r="B14" s="86" t="s">
        <v>175</v>
      </c>
      <c r="C14" s="74">
        <f>'Income Statement'!K11-'Income Statement'!K7</f>
        <v>934320769.2005353</v>
      </c>
    </row>
    <row r="15" spans="2:5" x14ac:dyDescent="0.35">
      <c r="B15" s="86" t="s">
        <v>176</v>
      </c>
      <c r="C15" s="74">
        <f>'Income Statement'!K23-'Income Statement'!K15</f>
        <v>4304451648.7786026</v>
      </c>
    </row>
    <row r="16" spans="2:5" x14ac:dyDescent="0.35">
      <c r="B16" s="86" t="s">
        <v>177</v>
      </c>
      <c r="C16" s="74">
        <f>'Income Statement'!K44</f>
        <v>143.28627558348001</v>
      </c>
    </row>
    <row r="17" spans="2:3" x14ac:dyDescent="0.35">
      <c r="B17" s="86" t="s">
        <v>178</v>
      </c>
      <c r="C17" s="91">
        <f>'Income Statement'!K38</f>
        <v>255779642.80098492</v>
      </c>
    </row>
  </sheetData>
  <mergeCells count="4">
    <mergeCell ref="B1:E1"/>
    <mergeCell ref="B2:E2"/>
    <mergeCell ref="B4:E4"/>
    <mergeCell ref="B13:C13"/>
  </mergeCells>
  <conditionalFormatting sqref="C8:E10">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Assumptions &amp; Sources</vt:lpstr>
      <vt:lpstr>Dashboard</vt:lpstr>
      <vt:lpstr>Data</vt:lpstr>
      <vt:lpstr>Income Statement</vt:lpstr>
      <vt:lpstr>Insights</vt:lpstr>
      <vt:lpstr>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Whelan</dc:creator>
  <dc:description/>
  <cp:lastModifiedBy>John Whelan</cp:lastModifiedBy>
  <cp:revision>1</cp:revision>
  <cp:lastPrinted>2025-11-18T22:51:42Z</cp:lastPrinted>
  <dcterms:created xsi:type="dcterms:W3CDTF">2025-11-17T04:50:06Z</dcterms:created>
  <dcterms:modified xsi:type="dcterms:W3CDTF">2026-07-16T03:05:13Z</dcterms:modified>
  <dc:language>en-US</dc:language>
</cp:coreProperties>
</file>